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08" yWindow="-108" windowWidth="16608" windowHeight="9432" tabRatio="869"/>
  </bookViews>
  <sheets>
    <sheet name="emploiGlobal" sheetId="46" r:id="rId1"/>
  </sheets>
  <externalReferences>
    <externalReference r:id="rId2"/>
  </externalReferences>
  <definedNames>
    <definedName name="_xlnm._FilterDatabase" localSheetId="0" hidden="1">emploiGlobal!$A$2:$Z$54</definedName>
    <definedName name="_xlnm.Print_Titles" localSheetId="0">emploiGlobal!$4:$6</definedName>
    <definedName name="_xlnm.Print_Area" localSheetId="0">emploiGlobal!$A$1:$E$27</definedName>
  </definedNames>
  <calcPr calcId="144525"/>
</workbook>
</file>

<file path=xl/calcChain.xml><?xml version="1.0" encoding="utf-8"?>
<calcChain xmlns="http://schemas.openxmlformats.org/spreadsheetml/2006/main">
  <c r="AB10" i="46" l="1"/>
  <c r="AB13" i="46"/>
  <c r="AB7" i="46"/>
  <c r="AB55" i="46" l="1"/>
  <c r="AB58" i="46"/>
  <c r="AB61" i="46"/>
  <c r="AB64" i="46"/>
  <c r="AB67" i="46"/>
  <c r="AB70" i="46"/>
  <c r="AB73" i="46"/>
  <c r="AB76" i="46"/>
  <c r="AB79" i="46"/>
  <c r="AB16" i="46" l="1"/>
  <c r="AB19" i="46"/>
  <c r="AB22" i="46"/>
  <c r="AB25" i="46"/>
  <c r="AB28" i="46"/>
  <c r="AB31" i="46"/>
  <c r="AB34" i="46"/>
  <c r="AB37" i="46"/>
  <c r="AB40" i="46"/>
  <c r="AB43" i="46"/>
  <c r="AB46" i="46"/>
  <c r="AB49" i="46"/>
  <c r="AB52" i="46"/>
  <c r="M2" i="46" l="1"/>
  <c r="M1" i="46"/>
  <c r="C2" i="46" l="1"/>
  <c r="D2" i="46"/>
  <c r="E2" i="46"/>
  <c r="F2" i="46"/>
  <c r="G2" i="46"/>
  <c r="H2" i="46"/>
  <c r="I2" i="46"/>
  <c r="J2" i="46"/>
  <c r="K2" i="46"/>
  <c r="L2" i="46"/>
  <c r="N2" i="46"/>
  <c r="O2" i="46"/>
  <c r="P2" i="46"/>
  <c r="Q2" i="46"/>
  <c r="R2" i="46"/>
  <c r="S2" i="46"/>
  <c r="T2" i="46"/>
  <c r="U2" i="46"/>
  <c r="V2" i="46"/>
  <c r="W2" i="46"/>
  <c r="X2" i="46"/>
  <c r="Y2" i="46"/>
  <c r="Z2" i="46"/>
  <c r="D1" i="46"/>
  <c r="E1" i="46"/>
  <c r="F1" i="46"/>
  <c r="G1" i="46"/>
  <c r="H1" i="46"/>
  <c r="I1" i="46"/>
  <c r="J1" i="46"/>
  <c r="K1" i="46"/>
  <c r="L1" i="46"/>
  <c r="N1" i="46"/>
  <c r="O1" i="46"/>
  <c r="P1" i="46"/>
  <c r="Q1" i="46"/>
  <c r="R1" i="46"/>
  <c r="S1" i="46"/>
  <c r="T1" i="46"/>
  <c r="U1" i="46"/>
  <c r="V1" i="46"/>
  <c r="W1" i="46"/>
  <c r="X1" i="46"/>
  <c r="Y1" i="46"/>
  <c r="Z1" i="46"/>
  <c r="AB1" i="46" l="1"/>
  <c r="AB6" i="46"/>
  <c r="AB2" i="46"/>
  <c r="AB4" i="46"/>
</calcChain>
</file>

<file path=xl/sharedStrings.xml><?xml version="1.0" encoding="utf-8"?>
<sst xmlns="http://schemas.openxmlformats.org/spreadsheetml/2006/main" count="1176" uniqueCount="121">
  <si>
    <t>Lundi</t>
  </si>
  <si>
    <t>Mardi</t>
  </si>
  <si>
    <t>Mercredi</t>
  </si>
  <si>
    <t>Jeudi</t>
  </si>
  <si>
    <t>Vendredi</t>
  </si>
  <si>
    <t>Samedi</t>
  </si>
  <si>
    <t>Matin</t>
  </si>
  <si>
    <t>FORMATEUR</t>
  </si>
  <si>
    <t>MODULE</t>
  </si>
  <si>
    <t>SALLE</t>
  </si>
  <si>
    <t>SALLE 27</t>
  </si>
  <si>
    <t>DIOURI</t>
  </si>
  <si>
    <t>ZOUITA</t>
  </si>
  <si>
    <t>SALLE 13</t>
  </si>
  <si>
    <t>IDRISSI</t>
  </si>
  <si>
    <t>AM</t>
  </si>
  <si>
    <t>MASSIF</t>
  </si>
  <si>
    <t>AALIL</t>
  </si>
  <si>
    <t>Grp</t>
  </si>
  <si>
    <t>HARMOUCHI</t>
  </si>
  <si>
    <t>BELAOUD</t>
  </si>
  <si>
    <t>JOUR</t>
  </si>
  <si>
    <t>Fkhatt</t>
  </si>
  <si>
    <t>DAOUDI</t>
  </si>
  <si>
    <t>SALLE 25</t>
  </si>
  <si>
    <t>SALLE 26</t>
  </si>
  <si>
    <t>SALLE 28</t>
  </si>
  <si>
    <t>SALLE 14</t>
  </si>
  <si>
    <t>08H30-11H00</t>
  </si>
  <si>
    <t>11H-13H30</t>
  </si>
  <si>
    <t>13H30-16H00</t>
  </si>
  <si>
    <t>16H-18H30</t>
  </si>
  <si>
    <t>SALLE 21</t>
  </si>
  <si>
    <t>SALLE 22</t>
  </si>
  <si>
    <t>SALLE 11</t>
  </si>
  <si>
    <t>SALLE 12</t>
  </si>
  <si>
    <t>SALLE 16</t>
  </si>
  <si>
    <t>SALLE 17</t>
  </si>
  <si>
    <t>SALLE 18</t>
  </si>
  <si>
    <t>AOUAID</t>
  </si>
  <si>
    <t>SALLE 15</t>
  </si>
  <si>
    <t>FATHALLAH</t>
  </si>
  <si>
    <t>BERRADA</t>
  </si>
  <si>
    <t>TEAMS</t>
  </si>
  <si>
    <t>ZAHRAOUI</t>
  </si>
  <si>
    <t>NTIC1-IDOSR 201</t>
  </si>
  <si>
    <t>M202</t>
  </si>
  <si>
    <t>NTIC1-IDOSR 202</t>
  </si>
  <si>
    <t>NTIC1-IDOSR 203</t>
  </si>
  <si>
    <t>NTIC1-DDOFS 201</t>
  </si>
  <si>
    <t>NTIC1-DDOFS 202</t>
  </si>
  <si>
    <t>NTIC1-DDOFS 203</t>
  </si>
  <si>
    <t>NTIC1-DDOFS 204</t>
  </si>
  <si>
    <t>NTIC1-DDOFS 206</t>
  </si>
  <si>
    <t>NTIC1-DDOFS 207</t>
  </si>
  <si>
    <t>NTIC1-DDOFS 208</t>
  </si>
  <si>
    <t>NTIC1-DDOFS 209</t>
  </si>
  <si>
    <t>NTIC1-DDOFS 210</t>
  </si>
  <si>
    <t>NTIC1-DDOFS 211</t>
  </si>
  <si>
    <t>NTIC1-DDOFS 212</t>
  </si>
  <si>
    <t xml:space="preserve">IRFAQ </t>
  </si>
  <si>
    <t>NTIC1-DD 101</t>
  </si>
  <si>
    <t>NTIC1-DD 102</t>
  </si>
  <si>
    <t>NTIC1-DD 103</t>
  </si>
  <si>
    <t>NTIC1-DD 104</t>
  </si>
  <si>
    <t>NTIC1-ID 101</t>
  </si>
  <si>
    <t>NTIC1-ID 102</t>
  </si>
  <si>
    <t>NTIC1-IDO 102</t>
  </si>
  <si>
    <t>NTIC1-ID 103</t>
  </si>
  <si>
    <t>NTIC1-ID 104</t>
  </si>
  <si>
    <t xml:space="preserve">GROUPE </t>
  </si>
  <si>
    <t>M104</t>
  </si>
  <si>
    <t>M103</t>
  </si>
  <si>
    <t>M 106</t>
  </si>
  <si>
    <t>M204</t>
  </si>
  <si>
    <t>M206</t>
  </si>
  <si>
    <t>LAHLALI</t>
  </si>
  <si>
    <t>BELHAOUS</t>
  </si>
  <si>
    <t>BOUDI</t>
  </si>
  <si>
    <t>ANGLAIS</t>
  </si>
  <si>
    <t>LEGDANI</t>
  </si>
  <si>
    <t>SEMMAR</t>
  </si>
  <si>
    <t>M205</t>
  </si>
  <si>
    <t xml:space="preserve">TEAMS </t>
  </si>
  <si>
    <t>BDD</t>
  </si>
  <si>
    <t>LASSRI</t>
  </si>
  <si>
    <t xml:space="preserve">AGUILO </t>
  </si>
  <si>
    <t>M105</t>
  </si>
  <si>
    <t xml:space="preserve">ZOUITA </t>
  </si>
  <si>
    <t>EGTS 204</t>
  </si>
  <si>
    <t>EGTS 202</t>
  </si>
  <si>
    <t xml:space="preserve">Teams </t>
  </si>
  <si>
    <t>SALLE15</t>
  </si>
  <si>
    <t>SALLE14</t>
  </si>
  <si>
    <t xml:space="preserve">SBAI </t>
  </si>
  <si>
    <t xml:space="preserve">M204 </t>
  </si>
  <si>
    <t>EGTS105</t>
  </si>
  <si>
    <t>EGTS103</t>
  </si>
  <si>
    <t xml:space="preserve">ELKHATTABI </t>
  </si>
  <si>
    <t>EGTS104</t>
  </si>
  <si>
    <t>SALLE25</t>
  </si>
  <si>
    <t xml:space="preserve">BOUKAL </t>
  </si>
  <si>
    <t>EGTS 103</t>
  </si>
  <si>
    <t>EGTS102</t>
  </si>
  <si>
    <t>SALLE26</t>
  </si>
  <si>
    <t>M206 CC</t>
  </si>
  <si>
    <t xml:space="preserve">BOUDI </t>
  </si>
  <si>
    <t xml:space="preserve">ANGLAIS </t>
  </si>
  <si>
    <t xml:space="preserve">SALLE 27 </t>
  </si>
  <si>
    <t>FAHIL</t>
  </si>
  <si>
    <t xml:space="preserve">FAHIL </t>
  </si>
  <si>
    <t>EGTS 105</t>
  </si>
  <si>
    <t xml:space="preserve">EGTS 101 EFM </t>
  </si>
  <si>
    <t xml:space="preserve"> EGTS105 CC</t>
  </si>
  <si>
    <t xml:space="preserve"> EGTS105 EFM</t>
  </si>
  <si>
    <t xml:space="preserve">M105 EFM </t>
  </si>
  <si>
    <t>teams</t>
  </si>
  <si>
    <t>M107</t>
  </si>
  <si>
    <t xml:space="preserve">teams </t>
  </si>
  <si>
    <t xml:space="preserve">M202 cc </t>
  </si>
  <si>
    <t xml:space="preserve">M206 cc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</si>
</sst>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5" formatCode="ddd\ dd/mm/yyyy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u/>
      <sz val="5.5"/>
      <color indexed="12"/>
      <name val="Calibri"/>
      <family val="2"/>
    </font>
    <font>
      <sz val="13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sz val="12"/>
      <color indexed="8"/>
      <name val="Calibri"/>
      <family val="2"/>
    </font>
    <font>
      <u/>
      <sz val="20"/>
      <color indexed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/>
  </cellStyleXfs>
  <cellXfs count="86">
    <xf numFmtId="0" fontId="0" fillId="0" borderId="0" xfId="0"/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wrapText="1"/>
    </xf>
    <xf numFmtId="0" fontId="0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0" fontId="14" fillId="0" borderId="0" xfId="0" applyFont="1" applyFill="1"/>
    <xf numFmtId="0" fontId="12" fillId="0" borderId="0" xfId="0" applyFont="1" applyFill="1"/>
    <xf numFmtId="0" fontId="9" fillId="0" borderId="0" xfId="0" applyFont="1" applyFill="1"/>
    <xf numFmtId="0" fontId="15" fillId="0" borderId="5" xfId="0" applyFont="1" applyFill="1" applyBorder="1" applyAlignment="1"/>
    <xf numFmtId="0" fontId="16" fillId="0" borderId="5" xfId="0" applyFont="1" applyFill="1" applyBorder="1" applyAlignment="1"/>
    <xf numFmtId="0" fontId="12" fillId="0" borderId="0" xfId="0" applyFont="1"/>
    <xf numFmtId="0" fontId="17" fillId="0" borderId="0" xfId="0" applyFont="1" applyFill="1"/>
    <xf numFmtId="0" fontId="6" fillId="0" borderId="0" xfId="0" applyFont="1" applyFill="1"/>
    <xf numFmtId="0" fontId="18" fillId="0" borderId="0" xfId="0" applyFont="1" applyFill="1"/>
    <xf numFmtId="0" fontId="10" fillId="0" borderId="0" xfId="1" applyFont="1" applyFill="1" applyBorder="1" applyAlignment="1" applyProtection="1">
      <alignment horizontal="center" wrapText="1"/>
    </xf>
    <xf numFmtId="0" fontId="16" fillId="0" borderId="1" xfId="0" applyFont="1" applyFill="1" applyBorder="1" applyAlignment="1">
      <alignment wrapText="1"/>
    </xf>
    <xf numFmtId="0" fontId="21" fillId="0" borderId="5" xfId="0" applyFont="1" applyBorder="1"/>
    <xf numFmtId="0" fontId="23" fillId="0" borderId="5" xfId="0" applyFont="1" applyBorder="1"/>
    <xf numFmtId="0" fontId="23" fillId="0" borderId="4" xfId="0" applyFont="1" applyBorder="1"/>
    <xf numFmtId="0" fontId="21" fillId="2" borderId="5" xfId="0" applyFont="1" applyFill="1" applyBorder="1"/>
    <xf numFmtId="0" fontId="22" fillId="2" borderId="1" xfId="0" applyFont="1" applyFill="1" applyBorder="1"/>
    <xf numFmtId="0" fontId="21" fillId="2" borderId="1" xfId="0" applyFont="1" applyFill="1" applyBorder="1"/>
    <xf numFmtId="0" fontId="23" fillId="2" borderId="5" xfId="0" applyFont="1" applyFill="1" applyBorder="1"/>
    <xf numFmtId="0" fontId="24" fillId="2" borderId="1" xfId="0" applyFont="1" applyFill="1" applyBorder="1"/>
    <xf numFmtId="0" fontId="23" fillId="2" borderId="1" xfId="0" applyFont="1" applyFill="1" applyBorder="1"/>
    <xf numFmtId="0" fontId="21" fillId="2" borderId="8" xfId="0" applyFont="1" applyFill="1" applyBorder="1"/>
    <xf numFmtId="0" fontId="21" fillId="2" borderId="3" xfId="0" applyFont="1" applyFill="1" applyBorder="1"/>
    <xf numFmtId="0" fontId="23" fillId="2" borderId="8" xfId="0" applyFont="1" applyFill="1" applyBorder="1"/>
    <xf numFmtId="0" fontId="23" fillId="2" borderId="3" xfId="0" applyFont="1" applyFill="1" applyBorder="1"/>
    <xf numFmtId="0" fontId="21" fillId="2" borderId="5" xfId="0" applyFont="1" applyFill="1" applyBorder="1" applyAlignment="1">
      <alignment wrapText="1"/>
    </xf>
    <xf numFmtId="0" fontId="21" fillId="2" borderId="8" xfId="0" applyFont="1" applyFill="1" applyBorder="1" applyAlignment="1">
      <alignment horizontal="right" wrapText="1"/>
    </xf>
    <xf numFmtId="0" fontId="21" fillId="2" borderId="13" xfId="0" applyFont="1" applyFill="1" applyBorder="1" applyAlignment="1">
      <alignment horizontal="left" wrapText="1"/>
    </xf>
    <xf numFmtId="0" fontId="23" fillId="0" borderId="0" xfId="0" applyFont="1"/>
    <xf numFmtId="0" fontId="23" fillId="0" borderId="0" xfId="0" applyFont="1" applyAlignment="1">
      <alignment vertical="center" wrapText="1"/>
    </xf>
    <xf numFmtId="0" fontId="21" fillId="3" borderId="5" xfId="0" applyFont="1" applyFill="1" applyBorder="1"/>
    <xf numFmtId="0" fontId="0" fillId="3" borderId="0" xfId="0" applyFont="1" applyFill="1"/>
    <xf numFmtId="0" fontId="0" fillId="3" borderId="0" xfId="0" applyFill="1"/>
    <xf numFmtId="0" fontId="17" fillId="3" borderId="0" xfId="0" applyFont="1" applyFill="1"/>
    <xf numFmtId="0" fontId="23" fillId="3" borderId="5" xfId="0" applyFont="1" applyFill="1" applyBorder="1"/>
    <xf numFmtId="0" fontId="23" fillId="3" borderId="4" xfId="0" applyFont="1" applyFill="1" applyBorder="1"/>
    <xf numFmtId="0" fontId="21" fillId="3" borderId="15" xfId="0" applyFont="1" applyFill="1" applyBorder="1"/>
    <xf numFmtId="0" fontId="23" fillId="3" borderId="3" xfId="0" applyFont="1" applyFill="1" applyBorder="1"/>
    <xf numFmtId="0" fontId="23" fillId="3" borderId="16" xfId="0" applyFont="1" applyFill="1" applyBorder="1"/>
    <xf numFmtId="0" fontId="0" fillId="3" borderId="0" xfId="0" applyFont="1" applyFill="1" applyBorder="1"/>
    <xf numFmtId="0" fontId="21" fillId="0" borderId="15" xfId="0" applyFont="1" applyBorder="1"/>
    <xf numFmtId="0" fontId="23" fillId="0" borderId="3" xfId="0" applyFont="1" applyBorder="1"/>
    <xf numFmtId="0" fontId="23" fillId="0" borderId="16" xfId="0" applyFont="1" applyBorder="1"/>
    <xf numFmtId="0" fontId="23" fillId="2" borderId="17" xfId="0" applyFont="1" applyFill="1" applyBorder="1"/>
    <xf numFmtId="0" fontId="24" fillId="2" borderId="2" xfId="0" applyFont="1" applyFill="1" applyBorder="1"/>
    <xf numFmtId="0" fontId="23" fillId="2" borderId="2" xfId="0" applyFont="1" applyFill="1" applyBorder="1"/>
    <xf numFmtId="0" fontId="21" fillId="0" borderId="18" xfId="0" applyFont="1" applyBorder="1"/>
    <xf numFmtId="0" fontId="21" fillId="0" borderId="10" xfId="0" applyFont="1" applyBorder="1"/>
    <xf numFmtId="0" fontId="0" fillId="4" borderId="1" xfId="0" applyFill="1" applyBorder="1" applyAlignment="1">
      <alignment wrapText="1"/>
    </xf>
    <xf numFmtId="0" fontId="15" fillId="0" borderId="7" xfId="0" applyFont="1" applyBorder="1"/>
    <xf numFmtId="0" fontId="16" fillId="0" borderId="7" xfId="0" applyFont="1" applyBorder="1"/>
    <xf numFmtId="0" fontId="16" fillId="0" borderId="19" xfId="0" applyFont="1" applyBorder="1"/>
    <xf numFmtId="0" fontId="23" fillId="2" borderId="12" xfId="0" applyFont="1" applyFill="1" applyBorder="1"/>
    <xf numFmtId="0" fontId="12" fillId="3" borderId="0" xfId="0" applyFont="1" applyFill="1"/>
    <xf numFmtId="0" fontId="15" fillId="3" borderId="20" xfId="0" applyFont="1" applyFill="1" applyBorder="1" applyAlignment="1">
      <alignment wrapText="1"/>
    </xf>
    <xf numFmtId="0" fontId="15" fillId="3" borderId="23" xfId="0" applyFont="1" applyFill="1" applyBorder="1" applyAlignment="1">
      <alignment wrapText="1"/>
    </xf>
    <xf numFmtId="0" fontId="16" fillId="3" borderId="1" xfId="0" applyFont="1" applyFill="1" applyBorder="1" applyAlignment="1">
      <alignment wrapText="1"/>
    </xf>
    <xf numFmtId="0" fontId="16" fillId="3" borderId="6" xfId="0" applyFont="1" applyFill="1" applyBorder="1" applyAlignment="1">
      <alignment wrapText="1"/>
    </xf>
    <xf numFmtId="0" fontId="16" fillId="3" borderId="21" xfId="0" applyFont="1" applyFill="1" applyBorder="1" applyAlignment="1">
      <alignment wrapText="1"/>
    </xf>
    <xf numFmtId="0" fontId="16" fillId="3" borderId="24" xfId="0" applyFont="1" applyFill="1" applyBorder="1" applyAlignment="1">
      <alignment wrapText="1"/>
    </xf>
    <xf numFmtId="0" fontId="0" fillId="4" borderId="9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15" fillId="0" borderId="20" xfId="0" applyFont="1" applyFill="1" applyBorder="1" applyAlignment="1">
      <alignment wrapText="1"/>
    </xf>
    <xf numFmtId="0" fontId="15" fillId="0" borderId="22" xfId="0" applyFont="1" applyFill="1" applyBorder="1" applyAlignment="1">
      <alignment wrapText="1"/>
    </xf>
    <xf numFmtId="0" fontId="16" fillId="0" borderId="5" xfId="0" applyFont="1" applyFill="1" applyBorder="1" applyAlignment="1">
      <alignment wrapText="1"/>
    </xf>
    <xf numFmtId="0" fontId="16" fillId="0" borderId="21" xfId="0" applyFont="1" applyFill="1" applyBorder="1" applyAlignment="1">
      <alignment wrapText="1"/>
    </xf>
    <xf numFmtId="0" fontId="16" fillId="0" borderId="4" xfId="0" applyFont="1" applyFill="1" applyBorder="1" applyAlignment="1">
      <alignment wrapText="1"/>
    </xf>
    <xf numFmtId="0" fontId="15" fillId="0" borderId="23" xfId="0" applyFont="1" applyFill="1" applyBorder="1" applyAlignment="1">
      <alignment wrapText="1"/>
    </xf>
    <xf numFmtId="0" fontId="16" fillId="0" borderId="6" xfId="0" applyFont="1" applyFill="1" applyBorder="1" applyAlignment="1">
      <alignment wrapText="1"/>
    </xf>
    <xf numFmtId="0" fontId="16" fillId="0" borderId="24" xfId="0" applyFont="1" applyFill="1" applyBorder="1" applyAlignment="1">
      <alignment wrapText="1"/>
    </xf>
    <xf numFmtId="0" fontId="15" fillId="3" borderId="22" xfId="0" applyFont="1" applyFill="1" applyBorder="1" applyAlignment="1">
      <alignment wrapText="1"/>
    </xf>
    <xf numFmtId="0" fontId="16" fillId="3" borderId="5" xfId="0" applyFont="1" applyFill="1" applyBorder="1" applyAlignment="1">
      <alignment wrapText="1"/>
    </xf>
    <xf numFmtId="0" fontId="16" fillId="3" borderId="4" xfId="0" applyFont="1" applyFill="1" applyBorder="1" applyAlignment="1">
      <alignment wrapText="1"/>
    </xf>
    <xf numFmtId="0" fontId="19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13" fillId="0" borderId="14" xfId="0" applyNumberFormat="1" applyFont="1" applyFill="1" applyBorder="1" applyAlignment="1">
      <alignment horizontal="center" wrapText="1"/>
    </xf>
  </cellXfs>
  <cellStyles count="7">
    <cellStyle name="Lien hypertexte" xfId="1" builtinId="8"/>
    <cellStyle name="Monétaire 2" xfId="2"/>
    <cellStyle name="Monétaire 2 2" xfId="3"/>
    <cellStyle name="Monétaire 2 2 2" xfId="4"/>
    <cellStyle name="Monétaire 2 3" xfId="5"/>
    <cellStyle name="Normal" xfId="0" builtinId="0"/>
    <cellStyle name="Normal 4" xfId="6"/>
  </cellStyles>
  <dxfs count="4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</xdr:row>
          <xdr:rowOff>68580</xdr:rowOff>
        </xdr:from>
        <xdr:to>
          <xdr:col>5</xdr:col>
          <xdr:colOff>1013460</xdr:colOff>
          <xdr:row>1</xdr:row>
          <xdr:rowOff>426720</xdr:rowOff>
        </xdr:to>
        <xdr:sp macro="" textlink="">
          <xdr:nvSpPr>
            <xdr:cNvPr id="615190" name="Button 4886" hidden="1">
              <a:extLst>
                <a:ext uri="{63B3BB69-23CF-44E3-9099-C40C66FF867C}">
                  <a14:compatExt spid="_x0000_s615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Etat e Emargement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30480</xdr:rowOff>
        </xdr:from>
        <xdr:to>
          <xdr:col>2</xdr:col>
          <xdr:colOff>1013460</xdr:colOff>
          <xdr:row>1</xdr:row>
          <xdr:rowOff>411480</xdr:rowOff>
        </xdr:to>
        <xdr:sp macro="" textlink="">
          <xdr:nvSpPr>
            <xdr:cNvPr id="615192" name="Button 4888" hidden="1">
              <a:extLst>
                <a:ext uri="{63B3BB69-23CF-44E3-9099-C40C66FF867C}">
                  <a14:compatExt spid="_x0000_s615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Etat des salles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</xdr:row>
          <xdr:rowOff>83820</xdr:rowOff>
        </xdr:from>
        <xdr:to>
          <xdr:col>8</xdr:col>
          <xdr:colOff>0</xdr:colOff>
          <xdr:row>1</xdr:row>
          <xdr:rowOff>464820</xdr:rowOff>
        </xdr:to>
        <xdr:sp macro="" textlink="">
          <xdr:nvSpPr>
            <xdr:cNvPr id="615193" name="Button 4889" hidden="1">
              <a:extLst>
                <a:ext uri="{63B3BB69-23CF-44E3-9099-C40C66FF867C}">
                  <a14:compatExt spid="_x0000_s615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Synchroniser Groupe Global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1</xdr:row>
          <xdr:rowOff>45720</xdr:rowOff>
        </xdr:from>
        <xdr:to>
          <xdr:col>4</xdr:col>
          <xdr:colOff>289560</xdr:colOff>
          <xdr:row>1</xdr:row>
          <xdr:rowOff>426720</xdr:rowOff>
        </xdr:to>
        <xdr:sp macro="" textlink="">
          <xdr:nvSpPr>
            <xdr:cNvPr id="615194" name="Button 4890" hidden="1">
              <a:extLst>
                <a:ext uri="{63B3BB69-23CF-44E3-9099-C40C66FF867C}">
                  <a14:compatExt spid="_x0000_s615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Formateurs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Users/user/Downloads/EMPLOIS%202021-2022/S2%20EMPLOI%20NTIC%20FORMATEURS%2030-09-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oiGlobal"/>
      <sheetName val="salles"/>
      <sheetName val="formateurs"/>
      <sheetName val="CTR FR"/>
      <sheetName val="CTR FR SL"/>
      <sheetName val="CTR SL"/>
      <sheetName val="F-NTIC1"/>
      <sheetName val="TSGE"/>
      <sheetName val="TSC-FC"/>
      <sheetName val="TDI2A"/>
      <sheetName val="TDI-TDM"/>
      <sheetName val="TRI"/>
      <sheetName val="TSGE1"/>
      <sheetName val="OffSh"/>
      <sheetName val="Banq"/>
      <sheetName val="Feuil1"/>
      <sheetName val="suivi quoditien"/>
      <sheetName val="BD"/>
    </sheetNames>
    <sheetDataSet>
      <sheetData sheetId="0" refreshError="1"/>
      <sheetData sheetId="1">
        <row r="1">
          <cell r="L1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AK102"/>
  <sheetViews>
    <sheetView tabSelected="1" zoomScale="60" zoomScaleNormal="60" zoomScaleSheetLayoutView="50" workbookViewId="0">
      <selection activeCell="M29" sqref="M29"/>
    </sheetView>
  </sheetViews>
  <sheetFormatPr baseColWidth="10" defaultColWidth="11.44140625" defaultRowHeight="18" x14ac:dyDescent="0.35"/>
  <cols>
    <col min="1" max="1" width="26.5546875" style="2" bestFit="1" customWidth="1"/>
    <col min="2" max="2" width="19" style="2" bestFit="1" customWidth="1"/>
    <col min="3" max="3" width="19.6640625" style="3" customWidth="1"/>
    <col min="4" max="4" width="19.44140625" style="3" customWidth="1"/>
    <col min="5" max="6" width="19" style="3" bestFit="1" customWidth="1"/>
    <col min="7" max="7" width="18.88671875" style="3" customWidth="1"/>
    <col min="8" max="8" width="18.6640625" style="3" customWidth="1"/>
    <col min="9" max="10" width="18.44140625" style="3" bestFit="1" customWidth="1"/>
    <col min="11" max="11" width="21.6640625" style="3" customWidth="1"/>
    <col min="12" max="12" width="18.6640625" style="3" customWidth="1"/>
    <col min="13" max="13" width="18.44140625" style="3" bestFit="1" customWidth="1"/>
    <col min="14" max="14" width="19" style="3" customWidth="1"/>
    <col min="15" max="15" width="19.5546875" style="3" customWidth="1"/>
    <col min="16" max="16" width="20.5546875" style="3" customWidth="1"/>
    <col min="17" max="17" width="19.88671875" style="3" customWidth="1"/>
    <col min="18" max="18" width="18.44140625" style="3" customWidth="1"/>
    <col min="19" max="20" width="18.44140625" style="3" bestFit="1" customWidth="1"/>
    <col min="21" max="21" width="21.6640625" style="3" customWidth="1"/>
    <col min="22" max="22" width="21.109375" style="3" customWidth="1"/>
    <col min="23" max="24" width="18.44140625" style="3" bestFit="1" customWidth="1"/>
    <col min="25" max="26" width="15.5546875" style="3" customWidth="1"/>
    <col min="27" max="27" width="1.5546875" style="4" customWidth="1"/>
    <col min="28" max="28" width="13.5546875" style="5" customWidth="1"/>
    <col min="29" max="33" width="11.44140625" style="12"/>
    <col min="34" max="16384" width="11.44140625" style="2"/>
  </cols>
  <sheetData>
    <row r="1" spans="1:37" ht="18.75" x14ac:dyDescent="0.3">
      <c r="B1" s="3"/>
      <c r="C1" s="3" t="s">
        <v>22</v>
      </c>
      <c r="D1" s="3">
        <f>(COUNTA(#REF!)/3)*2.5</f>
        <v>0.83333333333333326</v>
      </c>
      <c r="E1" s="3">
        <f>(COUNTA(#REF!)/3)*2.5</f>
        <v>0.83333333333333326</v>
      </c>
      <c r="F1" s="3">
        <f>(COUNTA(#REF!)/3)*2.5</f>
        <v>0.83333333333333326</v>
      </c>
      <c r="G1" s="3">
        <f>(COUNTA(#REF!)/3)*2.5</f>
        <v>0.83333333333333326</v>
      </c>
      <c r="H1" s="3">
        <f>(COUNTA(#REF!)/3)*2.5</f>
        <v>0.83333333333333326</v>
      </c>
      <c r="I1" s="3">
        <f>(COUNTA(#REF!)/3)*2.5</f>
        <v>0.83333333333333326</v>
      </c>
      <c r="J1" s="3">
        <f>(COUNTA(#REF!)/3)*2.5</f>
        <v>0.83333333333333326</v>
      </c>
      <c r="K1" s="3">
        <f>(COUNTA(#REF!)/3)*2.5</f>
        <v>0.83333333333333326</v>
      </c>
      <c r="L1" s="3">
        <f>(COUNTA(#REF!)/3)*2.5</f>
        <v>0.83333333333333326</v>
      </c>
      <c r="M1" s="3">
        <f>(COUNTA(#REF!)/3)*2.5</f>
        <v>0.83333333333333326</v>
      </c>
      <c r="N1" s="3">
        <f>(COUNTA(#REF!)/3)*2.5</f>
        <v>0.83333333333333326</v>
      </c>
      <c r="O1" s="3">
        <f>(COUNTA(#REF!)/3)*2.5</f>
        <v>0.83333333333333326</v>
      </c>
      <c r="P1" s="3">
        <f>(COUNTA(#REF!)/3)*2.5</f>
        <v>0.83333333333333326</v>
      </c>
      <c r="Q1" s="3">
        <f>(COUNTA(#REF!)/3)*2.5</f>
        <v>0.83333333333333326</v>
      </c>
      <c r="R1" s="3">
        <f>(COUNTA(#REF!)/3)*2.5</f>
        <v>0.83333333333333326</v>
      </c>
      <c r="S1" s="3">
        <f>(COUNTA(#REF!)/3)*2.5</f>
        <v>0.83333333333333326</v>
      </c>
      <c r="T1" s="3">
        <f>(COUNTA(#REF!)/3)*2.5</f>
        <v>0.83333333333333326</v>
      </c>
      <c r="U1" s="3">
        <f>(COUNTA(#REF!)/3)*2.5</f>
        <v>0.83333333333333326</v>
      </c>
      <c r="V1" s="3">
        <f>(COUNTA(#REF!)/3)*2.5</f>
        <v>0.83333333333333326</v>
      </c>
      <c r="W1" s="3">
        <f>(COUNTA(W7:W54)/3)*2.5</f>
        <v>31.666666666666664</v>
      </c>
      <c r="X1" s="3">
        <f>(COUNTA(#REF!)/3)*2.5</f>
        <v>0.83333333333333326</v>
      </c>
      <c r="Y1" s="3">
        <f>(COUNTA(Y7:Y18)/3)*2.5</f>
        <v>0</v>
      </c>
      <c r="Z1" s="3">
        <f>(COUNTA(#REF!)/3)*2.5</f>
        <v>0.83333333333333326</v>
      </c>
      <c r="AB1" s="5">
        <f>SUM(C1:Z1)</f>
        <v>49.166666666666671</v>
      </c>
    </row>
    <row r="2" spans="1:37" ht="51.6" customHeight="1" x14ac:dyDescent="0.3">
      <c r="B2" s="2">
        <v>400</v>
      </c>
      <c r="C2" s="3" t="e">
        <f>#REF!</f>
        <v>#REF!</v>
      </c>
      <c r="D2" s="3" t="e">
        <f>#REF!</f>
        <v>#REF!</v>
      </c>
      <c r="E2" s="3" t="e">
        <f>#REF!</f>
        <v>#REF!</v>
      </c>
      <c r="F2" s="3" t="e">
        <f>#REF!</f>
        <v>#REF!</v>
      </c>
      <c r="G2" s="3" t="e">
        <f>#REF!</f>
        <v>#REF!</v>
      </c>
      <c r="H2" s="3" t="e">
        <f>#REF!</f>
        <v>#REF!</v>
      </c>
      <c r="I2" s="3" t="e">
        <f>#REF!</f>
        <v>#REF!</v>
      </c>
      <c r="J2" s="3" t="e">
        <f>#REF!</f>
        <v>#REF!</v>
      </c>
      <c r="K2" s="3" t="e">
        <f>#REF!</f>
        <v>#REF!</v>
      </c>
      <c r="L2" s="3" t="e">
        <f>#REF!</f>
        <v>#REF!</v>
      </c>
      <c r="M2" s="3">
        <f>[1]salles!L1</f>
        <v>0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  <c r="X2" s="3" t="e">
        <f>#REF!</f>
        <v>#REF!</v>
      </c>
      <c r="Y2" s="3" t="e">
        <f>#REF!</f>
        <v>#REF!</v>
      </c>
      <c r="Z2" s="3" t="e">
        <f>#REF!</f>
        <v>#REF!</v>
      </c>
      <c r="AB2" s="5" t="e">
        <f>SUM(C2:Z2)</f>
        <v>#REF!</v>
      </c>
    </row>
    <row r="3" spans="1:37" ht="27" customHeight="1" thickBot="1" x14ac:dyDescent="0.45">
      <c r="A3" s="6">
        <v>120</v>
      </c>
      <c r="C3" s="85">
        <v>45184</v>
      </c>
      <c r="D3" s="85"/>
      <c r="E3" s="85"/>
      <c r="U3" s="15"/>
      <c r="V3" s="15"/>
      <c r="W3" s="15"/>
      <c r="X3" s="15"/>
      <c r="Y3" s="15"/>
      <c r="Z3" s="15"/>
    </row>
    <row r="4" spans="1:37" ht="15.75" customHeight="1" x14ac:dyDescent="0.3">
      <c r="B4" s="27"/>
      <c r="C4" s="30" t="s">
        <v>0</v>
      </c>
      <c r="D4" s="21" t="s">
        <v>0</v>
      </c>
      <c r="E4" s="22" t="s">
        <v>0</v>
      </c>
      <c r="F4" s="22" t="s">
        <v>0</v>
      </c>
      <c r="G4" s="20" t="s">
        <v>1</v>
      </c>
      <c r="H4" s="21" t="s">
        <v>1</v>
      </c>
      <c r="I4" s="22" t="s">
        <v>1</v>
      </c>
      <c r="J4" s="22" t="s">
        <v>1</v>
      </c>
      <c r="K4" s="20" t="s">
        <v>2</v>
      </c>
      <c r="L4" s="21" t="s">
        <v>2</v>
      </c>
      <c r="M4" s="21" t="s">
        <v>2</v>
      </c>
      <c r="N4" s="22" t="s">
        <v>2</v>
      </c>
      <c r="O4" s="20" t="s">
        <v>3</v>
      </c>
      <c r="P4" s="21" t="s">
        <v>3</v>
      </c>
      <c r="Q4" s="22" t="s">
        <v>3</v>
      </c>
      <c r="R4" s="22" t="s">
        <v>3</v>
      </c>
      <c r="S4" s="20" t="s">
        <v>4</v>
      </c>
      <c r="T4" s="21" t="s">
        <v>4</v>
      </c>
      <c r="U4" s="22" t="s">
        <v>4</v>
      </c>
      <c r="V4" s="22" t="s">
        <v>4</v>
      </c>
      <c r="W4" s="20" t="s">
        <v>5</v>
      </c>
      <c r="X4" s="21" t="s">
        <v>5</v>
      </c>
      <c r="Y4" s="22" t="s">
        <v>5</v>
      </c>
      <c r="Z4" s="22" t="s">
        <v>5</v>
      </c>
      <c r="AA4" s="9"/>
      <c r="AB4" s="79">
        <f>SUM(AB7:AB54)</f>
        <v>462.5</v>
      </c>
      <c r="AC4" s="78"/>
      <c r="AD4" s="78"/>
      <c r="AE4" s="78"/>
      <c r="AF4" s="78"/>
      <c r="AG4" s="78"/>
      <c r="AH4" s="78"/>
      <c r="AI4" s="78"/>
      <c r="AJ4" s="78"/>
      <c r="AK4" s="78"/>
    </row>
    <row r="5" spans="1:37" ht="15.75" customHeight="1" x14ac:dyDescent="0.3">
      <c r="A5" s="31" t="s">
        <v>21</v>
      </c>
      <c r="B5" s="29"/>
      <c r="C5" s="23" t="s">
        <v>6</v>
      </c>
      <c r="D5" s="24" t="s">
        <v>6</v>
      </c>
      <c r="E5" s="25" t="s">
        <v>15</v>
      </c>
      <c r="F5" s="25" t="s">
        <v>15</v>
      </c>
      <c r="G5" s="23" t="s">
        <v>6</v>
      </c>
      <c r="H5" s="24" t="s">
        <v>6</v>
      </c>
      <c r="I5" s="25" t="s">
        <v>15</v>
      </c>
      <c r="J5" s="25" t="s">
        <v>15</v>
      </c>
      <c r="K5" s="23" t="s">
        <v>6</v>
      </c>
      <c r="L5" s="24" t="s">
        <v>6</v>
      </c>
      <c r="M5" s="24" t="s">
        <v>15</v>
      </c>
      <c r="N5" s="25" t="s">
        <v>15</v>
      </c>
      <c r="O5" s="23" t="s">
        <v>6</v>
      </c>
      <c r="P5" s="24" t="s">
        <v>6</v>
      </c>
      <c r="Q5" s="25" t="s">
        <v>15</v>
      </c>
      <c r="R5" s="25" t="s">
        <v>15</v>
      </c>
      <c r="S5" s="23" t="s">
        <v>6</v>
      </c>
      <c r="T5" s="24" t="s">
        <v>6</v>
      </c>
      <c r="U5" s="25" t="s">
        <v>15</v>
      </c>
      <c r="V5" s="25" t="s">
        <v>15</v>
      </c>
      <c r="W5" s="23" t="s">
        <v>6</v>
      </c>
      <c r="X5" s="24" t="s">
        <v>6</v>
      </c>
      <c r="Y5" s="25" t="s">
        <v>15</v>
      </c>
      <c r="Z5" s="25" t="s">
        <v>15</v>
      </c>
      <c r="AA5" s="10"/>
      <c r="AB5" s="79"/>
      <c r="AC5" s="78"/>
      <c r="AD5" s="78"/>
      <c r="AE5" s="78"/>
      <c r="AF5" s="78"/>
      <c r="AG5" s="78"/>
      <c r="AH5" s="78"/>
      <c r="AI5" s="78"/>
      <c r="AJ5" s="78"/>
      <c r="AK5" s="78"/>
    </row>
    <row r="6" spans="1:37" ht="16.5" customHeight="1" thickBot="1" x14ac:dyDescent="0.35">
      <c r="A6" s="32" t="s">
        <v>70</v>
      </c>
      <c r="B6" s="57"/>
      <c r="C6" s="48"/>
      <c r="D6" s="49"/>
      <c r="E6" s="50"/>
      <c r="F6" s="50"/>
      <c r="G6" s="48" t="s">
        <v>28</v>
      </c>
      <c r="H6" s="49" t="s">
        <v>29</v>
      </c>
      <c r="I6" s="50" t="s">
        <v>30</v>
      </c>
      <c r="J6" s="50" t="s">
        <v>31</v>
      </c>
      <c r="K6" s="48" t="s">
        <v>28</v>
      </c>
      <c r="L6" s="49" t="s">
        <v>29</v>
      </c>
      <c r="M6" s="49" t="s">
        <v>30</v>
      </c>
      <c r="N6" s="50" t="s">
        <v>31</v>
      </c>
      <c r="O6" s="48" t="s">
        <v>28</v>
      </c>
      <c r="P6" s="49" t="s">
        <v>29</v>
      </c>
      <c r="Q6" s="50" t="s">
        <v>30</v>
      </c>
      <c r="R6" s="50" t="s">
        <v>31</v>
      </c>
      <c r="S6" s="48" t="s">
        <v>28</v>
      </c>
      <c r="T6" s="49" t="s">
        <v>29</v>
      </c>
      <c r="U6" s="50" t="s">
        <v>30</v>
      </c>
      <c r="V6" s="50" t="s">
        <v>31</v>
      </c>
      <c r="W6" s="48" t="s">
        <v>28</v>
      </c>
      <c r="X6" s="49" t="s">
        <v>29</v>
      </c>
      <c r="Y6" s="50" t="s">
        <v>30</v>
      </c>
      <c r="Z6" s="50" t="s">
        <v>31</v>
      </c>
      <c r="AA6" s="10"/>
      <c r="AB6" s="79">
        <f>SUM(AB7:AB54)</f>
        <v>462.5</v>
      </c>
      <c r="AC6" s="78"/>
      <c r="AD6" s="78"/>
      <c r="AE6" s="78"/>
      <c r="AF6" s="78"/>
      <c r="AG6" s="78"/>
      <c r="AH6" s="78"/>
      <c r="AI6" s="78"/>
      <c r="AJ6" s="78"/>
      <c r="AK6" s="78"/>
    </row>
    <row r="7" spans="1:37" s="8" customFormat="1" ht="15.75" customHeight="1" x14ac:dyDescent="0.35">
      <c r="A7" s="51" t="s">
        <v>45</v>
      </c>
      <c r="B7" s="45" t="s">
        <v>7</v>
      </c>
      <c r="C7" s="75" t="s">
        <v>88</v>
      </c>
      <c r="D7" s="59" t="s">
        <v>88</v>
      </c>
      <c r="E7" s="59" t="s">
        <v>76</v>
      </c>
      <c r="F7" s="60" t="s">
        <v>76</v>
      </c>
      <c r="G7" s="75"/>
      <c r="H7" s="59"/>
      <c r="I7" s="59"/>
      <c r="J7" s="60"/>
      <c r="K7" s="68"/>
      <c r="L7" s="67"/>
      <c r="M7" s="67"/>
      <c r="N7" s="72"/>
      <c r="O7" s="68"/>
      <c r="P7" s="67"/>
      <c r="Q7" s="68" t="s">
        <v>39</v>
      </c>
      <c r="R7" s="67" t="s">
        <v>39</v>
      </c>
      <c r="S7" s="68" t="s">
        <v>39</v>
      </c>
      <c r="T7" s="67" t="s">
        <v>39</v>
      </c>
      <c r="U7" s="67" t="s">
        <v>76</v>
      </c>
      <c r="V7" s="72" t="s">
        <v>76</v>
      </c>
      <c r="W7" s="68" t="s">
        <v>39</v>
      </c>
      <c r="X7" s="67" t="s">
        <v>39</v>
      </c>
      <c r="Y7" s="59"/>
      <c r="Z7" s="60"/>
      <c r="AA7" s="11"/>
      <c r="AB7" s="80">
        <f>COUNTA(C9:Z9)*2.5</f>
        <v>30</v>
      </c>
      <c r="AC7" s="13"/>
      <c r="AD7" s="13"/>
      <c r="AE7" s="13"/>
      <c r="AF7" s="13"/>
      <c r="AG7" s="13"/>
    </row>
    <row r="8" spans="1:37" s="8" customFormat="1" ht="16.5" customHeight="1" x14ac:dyDescent="0.35">
      <c r="A8" s="18" t="s">
        <v>45</v>
      </c>
      <c r="B8" s="46" t="s">
        <v>8</v>
      </c>
      <c r="C8" s="76" t="s">
        <v>89</v>
      </c>
      <c r="D8" s="61" t="s">
        <v>89</v>
      </c>
      <c r="E8" s="61" t="s">
        <v>82</v>
      </c>
      <c r="F8" s="62" t="s">
        <v>82</v>
      </c>
      <c r="G8" s="76"/>
      <c r="H8" s="61"/>
      <c r="I8" s="61"/>
      <c r="J8" s="62"/>
      <c r="K8" s="69"/>
      <c r="L8" s="16"/>
      <c r="M8" s="16"/>
      <c r="N8" s="73"/>
      <c r="O8" s="69"/>
      <c r="P8" s="16"/>
      <c r="Q8" s="69" t="s">
        <v>74</v>
      </c>
      <c r="R8" s="16" t="s">
        <v>74</v>
      </c>
      <c r="S8" s="69" t="s">
        <v>74</v>
      </c>
      <c r="T8" s="16" t="s">
        <v>74</v>
      </c>
      <c r="U8" s="16" t="s">
        <v>82</v>
      </c>
      <c r="V8" s="73" t="s">
        <v>82</v>
      </c>
      <c r="W8" s="69" t="s">
        <v>74</v>
      </c>
      <c r="X8" s="16" t="s">
        <v>74</v>
      </c>
      <c r="Y8" s="61"/>
      <c r="Z8" s="62"/>
      <c r="AA8" s="1"/>
      <c r="AB8" s="80"/>
      <c r="AC8" s="13"/>
      <c r="AD8" s="13"/>
      <c r="AE8" s="13"/>
      <c r="AF8" s="13"/>
      <c r="AG8" s="13"/>
    </row>
    <row r="9" spans="1:37" s="7" customFormat="1" ht="15.75" customHeight="1" thickBot="1" x14ac:dyDescent="0.4">
      <c r="A9" s="19" t="s">
        <v>45</v>
      </c>
      <c r="B9" s="47" t="s">
        <v>9</v>
      </c>
      <c r="C9" s="77" t="s">
        <v>10</v>
      </c>
      <c r="D9" s="63" t="s">
        <v>10</v>
      </c>
      <c r="E9" s="63" t="s">
        <v>35</v>
      </c>
      <c r="F9" s="64" t="s">
        <v>35</v>
      </c>
      <c r="G9" s="77"/>
      <c r="H9" s="63"/>
      <c r="I9" s="63"/>
      <c r="J9" s="64"/>
      <c r="K9" s="71"/>
      <c r="L9" s="70"/>
      <c r="M9" s="70"/>
      <c r="N9" s="74"/>
      <c r="O9" s="71"/>
      <c r="P9" s="70"/>
      <c r="Q9" s="71" t="s">
        <v>83</v>
      </c>
      <c r="R9" s="70" t="s">
        <v>83</v>
      </c>
      <c r="S9" s="71" t="s">
        <v>26</v>
      </c>
      <c r="T9" s="70" t="s">
        <v>26</v>
      </c>
      <c r="U9" s="70" t="s">
        <v>83</v>
      </c>
      <c r="V9" s="74" t="s">
        <v>83</v>
      </c>
      <c r="W9" s="71" t="s">
        <v>83</v>
      </c>
      <c r="X9" s="70" t="s">
        <v>83</v>
      </c>
      <c r="Y9" s="63"/>
      <c r="Z9" s="64"/>
      <c r="AA9" s="1"/>
      <c r="AB9" s="80"/>
      <c r="AC9" s="14"/>
      <c r="AD9" s="14"/>
      <c r="AE9" s="14"/>
      <c r="AF9" s="14"/>
      <c r="AG9" s="14"/>
    </row>
    <row r="10" spans="1:37" s="7" customFormat="1" ht="21" customHeight="1" x14ac:dyDescent="0.35">
      <c r="A10" s="51" t="s">
        <v>47</v>
      </c>
      <c r="B10" s="45" t="s">
        <v>7</v>
      </c>
      <c r="C10" s="75"/>
      <c r="D10" s="59"/>
      <c r="E10" s="59"/>
      <c r="F10" s="60"/>
      <c r="G10" s="75" t="s">
        <v>39</v>
      </c>
      <c r="H10" s="59" t="s">
        <v>39</v>
      </c>
      <c r="I10" s="59"/>
      <c r="J10" s="60"/>
      <c r="K10" s="68" t="s">
        <v>76</v>
      </c>
      <c r="L10" s="67" t="s">
        <v>76</v>
      </c>
      <c r="M10" s="67"/>
      <c r="N10" s="72"/>
      <c r="O10" s="68"/>
      <c r="P10" s="67"/>
      <c r="Q10" s="68" t="s">
        <v>39</v>
      </c>
      <c r="R10" s="67" t="s">
        <v>39</v>
      </c>
      <c r="S10" s="68" t="s">
        <v>88</v>
      </c>
      <c r="T10" s="67" t="s">
        <v>88</v>
      </c>
      <c r="U10" s="67" t="s">
        <v>76</v>
      </c>
      <c r="V10" s="72" t="s">
        <v>76</v>
      </c>
      <c r="W10" s="68" t="s">
        <v>39</v>
      </c>
      <c r="X10" s="67" t="s">
        <v>39</v>
      </c>
      <c r="Y10" s="59"/>
      <c r="Z10" s="60"/>
      <c r="AA10" s="11"/>
      <c r="AB10" s="80">
        <f t="shared" ref="AB10" si="0">COUNTA(C12:Z12)*2.5</f>
        <v>30</v>
      </c>
      <c r="AC10" s="14"/>
      <c r="AD10" s="14"/>
      <c r="AE10" s="14"/>
      <c r="AF10" s="14"/>
      <c r="AG10" s="14"/>
    </row>
    <row r="11" spans="1:37" ht="15.75" customHeight="1" x14ac:dyDescent="0.35">
      <c r="A11" s="18" t="s">
        <v>47</v>
      </c>
      <c r="B11" s="46" t="s">
        <v>8</v>
      </c>
      <c r="C11" s="76"/>
      <c r="D11" s="61"/>
      <c r="E11" s="61"/>
      <c r="F11" s="62"/>
      <c r="G11" s="76" t="s">
        <v>74</v>
      </c>
      <c r="H11" s="61" t="s">
        <v>74</v>
      </c>
      <c r="I11" s="61"/>
      <c r="J11" s="62"/>
      <c r="K11" s="69" t="s">
        <v>82</v>
      </c>
      <c r="L11" s="16" t="s">
        <v>82</v>
      </c>
      <c r="M11" s="16"/>
      <c r="N11" s="73"/>
      <c r="O11" s="69"/>
      <c r="P11" s="16"/>
      <c r="Q11" s="69" t="s">
        <v>74</v>
      </c>
      <c r="R11" s="16" t="s">
        <v>74</v>
      </c>
      <c r="S11" s="69" t="s">
        <v>89</v>
      </c>
      <c r="T11" s="16" t="s">
        <v>89</v>
      </c>
      <c r="U11" s="16" t="s">
        <v>82</v>
      </c>
      <c r="V11" s="73" t="s">
        <v>82</v>
      </c>
      <c r="W11" s="69" t="s">
        <v>74</v>
      </c>
      <c r="X11" s="16" t="s">
        <v>74</v>
      </c>
      <c r="Y11" s="61"/>
      <c r="Z11" s="62"/>
      <c r="AA11" s="1"/>
      <c r="AB11" s="80"/>
    </row>
    <row r="12" spans="1:37" ht="16.5" customHeight="1" thickBot="1" x14ac:dyDescent="0.4">
      <c r="A12" s="19" t="s">
        <v>47</v>
      </c>
      <c r="B12" s="47" t="s">
        <v>9</v>
      </c>
      <c r="C12" s="77"/>
      <c r="D12" s="63"/>
      <c r="E12" s="63"/>
      <c r="F12" s="64"/>
      <c r="G12" s="77" t="s">
        <v>13</v>
      </c>
      <c r="H12" s="63" t="s">
        <v>13</v>
      </c>
      <c r="I12" s="63"/>
      <c r="J12" s="64"/>
      <c r="K12" s="71" t="s">
        <v>35</v>
      </c>
      <c r="L12" s="70" t="s">
        <v>35</v>
      </c>
      <c r="M12" s="70"/>
      <c r="N12" s="74"/>
      <c r="O12" s="71"/>
      <c r="P12" s="70"/>
      <c r="Q12" s="71" t="s">
        <v>83</v>
      </c>
      <c r="R12" s="70" t="s">
        <v>83</v>
      </c>
      <c r="S12" s="71" t="s">
        <v>10</v>
      </c>
      <c r="T12" s="70" t="s">
        <v>10</v>
      </c>
      <c r="U12" s="70" t="s">
        <v>83</v>
      </c>
      <c r="V12" s="74" t="s">
        <v>83</v>
      </c>
      <c r="W12" s="71" t="s">
        <v>83</v>
      </c>
      <c r="X12" s="70" t="s">
        <v>83</v>
      </c>
      <c r="Y12" s="63"/>
      <c r="Z12" s="64"/>
      <c r="AA12" s="1"/>
      <c r="AB12" s="80"/>
    </row>
    <row r="13" spans="1:37" s="7" customFormat="1" ht="15.75" customHeight="1" x14ac:dyDescent="0.35">
      <c r="A13" s="51" t="s">
        <v>48</v>
      </c>
      <c r="B13" s="45" t="s">
        <v>7</v>
      </c>
      <c r="C13" s="75" t="s">
        <v>39</v>
      </c>
      <c r="D13" s="59" t="s">
        <v>39</v>
      </c>
      <c r="E13" s="59"/>
      <c r="F13" s="60"/>
      <c r="G13" s="75"/>
      <c r="H13" s="59"/>
      <c r="I13" s="59"/>
      <c r="J13" s="60"/>
      <c r="K13" s="68"/>
      <c r="L13" s="67"/>
      <c r="M13" s="68" t="s">
        <v>76</v>
      </c>
      <c r="N13" s="67" t="s">
        <v>76</v>
      </c>
      <c r="O13" s="68" t="s">
        <v>76</v>
      </c>
      <c r="P13" s="67" t="s">
        <v>76</v>
      </c>
      <c r="Q13" s="68" t="s">
        <v>39</v>
      </c>
      <c r="R13" s="67" t="s">
        <v>39</v>
      </c>
      <c r="S13" s="68"/>
      <c r="T13" s="67"/>
      <c r="U13" s="67" t="s">
        <v>76</v>
      </c>
      <c r="V13" s="72" t="s">
        <v>76</v>
      </c>
      <c r="W13" s="68" t="s">
        <v>39</v>
      </c>
      <c r="X13" s="67" t="s">
        <v>39</v>
      </c>
      <c r="Y13" s="59"/>
      <c r="Z13" s="60"/>
      <c r="AA13" s="11"/>
      <c r="AB13" s="80">
        <f>COUNTA(E15:Z15)*2.5</f>
        <v>25</v>
      </c>
      <c r="AC13" s="14"/>
      <c r="AD13" s="14"/>
      <c r="AE13" s="14"/>
      <c r="AF13" s="14"/>
      <c r="AG13" s="14"/>
    </row>
    <row r="14" spans="1:37" ht="15.75" customHeight="1" x14ac:dyDescent="0.35">
      <c r="A14" s="18" t="s">
        <v>48</v>
      </c>
      <c r="B14" s="46" t="s">
        <v>8</v>
      </c>
      <c r="C14" s="76" t="s">
        <v>74</v>
      </c>
      <c r="D14" s="61" t="s">
        <v>74</v>
      </c>
      <c r="E14" s="61"/>
      <c r="F14" s="62"/>
      <c r="G14" s="76"/>
      <c r="H14" s="61"/>
      <c r="I14" s="61"/>
      <c r="J14" s="62"/>
      <c r="K14" s="69"/>
      <c r="L14" s="16"/>
      <c r="M14" s="69" t="s">
        <v>82</v>
      </c>
      <c r="N14" s="16" t="s">
        <v>82</v>
      </c>
      <c r="O14" s="69" t="s">
        <v>82</v>
      </c>
      <c r="P14" s="16" t="s">
        <v>82</v>
      </c>
      <c r="Q14" s="69" t="s">
        <v>74</v>
      </c>
      <c r="R14" s="16" t="s">
        <v>74</v>
      </c>
      <c r="S14" s="69"/>
      <c r="T14" s="16"/>
      <c r="U14" s="16" t="s">
        <v>82</v>
      </c>
      <c r="V14" s="73" t="s">
        <v>82</v>
      </c>
      <c r="W14" s="69" t="s">
        <v>74</v>
      </c>
      <c r="X14" s="16" t="s">
        <v>74</v>
      </c>
      <c r="Y14" s="61"/>
      <c r="Z14" s="62"/>
      <c r="AA14" s="1"/>
      <c r="AB14" s="80"/>
    </row>
    <row r="15" spans="1:37" ht="16.5" customHeight="1" thickBot="1" x14ac:dyDescent="0.4">
      <c r="A15" s="19" t="s">
        <v>48</v>
      </c>
      <c r="B15" s="47" t="s">
        <v>9</v>
      </c>
      <c r="C15" s="77" t="s">
        <v>35</v>
      </c>
      <c r="D15" s="63" t="s">
        <v>35</v>
      </c>
      <c r="E15" s="63"/>
      <c r="F15" s="64"/>
      <c r="G15" s="77"/>
      <c r="H15" s="63"/>
      <c r="I15" s="63"/>
      <c r="J15" s="64"/>
      <c r="K15" s="71"/>
      <c r="L15" s="70"/>
      <c r="M15" s="71" t="s">
        <v>43</v>
      </c>
      <c r="N15" s="71" t="s">
        <v>43</v>
      </c>
      <c r="O15" s="71" t="s">
        <v>35</v>
      </c>
      <c r="P15" s="70" t="s">
        <v>35</v>
      </c>
      <c r="Q15" s="71" t="s">
        <v>83</v>
      </c>
      <c r="R15" s="70" t="s">
        <v>83</v>
      </c>
      <c r="S15" s="71"/>
      <c r="T15" s="70"/>
      <c r="U15" s="70" t="s">
        <v>83</v>
      </c>
      <c r="V15" s="74" t="s">
        <v>83</v>
      </c>
      <c r="W15" s="71" t="s">
        <v>83</v>
      </c>
      <c r="X15" s="70" t="s">
        <v>83</v>
      </c>
      <c r="Y15" s="63"/>
      <c r="Z15" s="64"/>
      <c r="AA15" s="1"/>
      <c r="AB15" s="80"/>
    </row>
    <row r="16" spans="1:37" ht="16.5" customHeight="1" x14ac:dyDescent="0.35">
      <c r="A16" s="22" t="s">
        <v>18</v>
      </c>
      <c r="B16" s="22" t="s">
        <v>7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1"/>
      <c r="AB16" s="81">
        <f t="shared" ref="AB16" si="1">COUNTA(C16:Z16)*2.5</f>
        <v>0</v>
      </c>
    </row>
    <row r="17" spans="1:33" ht="16.5" customHeight="1" x14ac:dyDescent="0.35">
      <c r="A17" s="25" t="s">
        <v>18</v>
      </c>
      <c r="B17" s="25" t="s">
        <v>8</v>
      </c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1"/>
      <c r="AB17" s="82"/>
    </row>
    <row r="18" spans="1:33" ht="16.5" customHeight="1" thickBot="1" x14ac:dyDescent="0.4">
      <c r="A18" s="25" t="s">
        <v>18</v>
      </c>
      <c r="B18" s="25" t="s">
        <v>9</v>
      </c>
      <c r="C18" s="53"/>
      <c r="D18" s="53"/>
      <c r="E18" s="53"/>
      <c r="F18" s="53"/>
      <c r="G18" s="53"/>
      <c r="H18" s="53"/>
      <c r="I18" s="53"/>
      <c r="J18" s="53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53"/>
      <c r="X18" s="53"/>
      <c r="Y18" s="53"/>
      <c r="Z18" s="53"/>
      <c r="AA18" s="1"/>
      <c r="AB18" s="83"/>
    </row>
    <row r="19" spans="1:33" ht="16.5" customHeight="1" x14ac:dyDescent="0.35">
      <c r="A19" s="51" t="s">
        <v>49</v>
      </c>
      <c r="B19" s="52" t="s">
        <v>7</v>
      </c>
      <c r="C19" s="75"/>
      <c r="D19" s="59"/>
      <c r="E19" s="59"/>
      <c r="F19" s="60"/>
      <c r="G19" s="75"/>
      <c r="H19" s="59"/>
      <c r="I19" s="59" t="s">
        <v>14</v>
      </c>
      <c r="J19" s="60" t="s">
        <v>14</v>
      </c>
      <c r="K19" s="75"/>
      <c r="L19" s="59" t="s">
        <v>14</v>
      </c>
      <c r="M19" s="59"/>
      <c r="N19" s="60"/>
      <c r="O19" s="75" t="s">
        <v>14</v>
      </c>
      <c r="P19" s="59" t="s">
        <v>14</v>
      </c>
      <c r="Q19" s="59"/>
      <c r="R19" s="60"/>
      <c r="S19" s="75" t="s">
        <v>14</v>
      </c>
      <c r="T19" s="59" t="s">
        <v>14</v>
      </c>
      <c r="U19" s="59" t="s">
        <v>14</v>
      </c>
      <c r="V19" s="60" t="s">
        <v>14</v>
      </c>
      <c r="W19" s="75"/>
      <c r="X19" s="59"/>
      <c r="Y19" s="59" t="s">
        <v>42</v>
      </c>
      <c r="Z19" s="60" t="s">
        <v>42</v>
      </c>
      <c r="AA19" s="1"/>
      <c r="AB19" s="80">
        <f>COUNTA(C19:Z19)*2.5</f>
        <v>27.5</v>
      </c>
    </row>
    <row r="20" spans="1:33" ht="16.5" customHeight="1" x14ac:dyDescent="0.35">
      <c r="A20" s="18" t="s">
        <v>49</v>
      </c>
      <c r="B20" s="46" t="s">
        <v>8</v>
      </c>
      <c r="C20" s="76"/>
      <c r="D20" s="61"/>
      <c r="E20" s="61"/>
      <c r="F20" s="62"/>
      <c r="G20" s="76"/>
      <c r="H20" s="61"/>
      <c r="I20" s="61" t="s">
        <v>75</v>
      </c>
      <c r="J20" s="62" t="s">
        <v>75</v>
      </c>
      <c r="K20" s="76"/>
      <c r="L20" s="61" t="s">
        <v>120</v>
      </c>
      <c r="M20" s="61"/>
      <c r="N20" s="62"/>
      <c r="O20" s="76" t="s">
        <v>75</v>
      </c>
      <c r="P20" s="61" t="s">
        <v>75</v>
      </c>
      <c r="Q20" s="61"/>
      <c r="R20" s="62"/>
      <c r="S20" s="76" t="s">
        <v>75</v>
      </c>
      <c r="T20" s="61" t="s">
        <v>75</v>
      </c>
      <c r="U20" s="61" t="s">
        <v>75</v>
      </c>
      <c r="V20" s="62" t="s">
        <v>75</v>
      </c>
      <c r="W20" s="76"/>
      <c r="X20" s="61"/>
      <c r="Y20" s="61" t="s">
        <v>46</v>
      </c>
      <c r="Z20" s="62" t="s">
        <v>46</v>
      </c>
      <c r="AA20" s="1"/>
      <c r="AB20" s="80"/>
    </row>
    <row r="21" spans="1:33" ht="16.5" customHeight="1" thickBot="1" x14ac:dyDescent="0.4">
      <c r="A21" s="19" t="s">
        <v>49</v>
      </c>
      <c r="B21" s="47" t="s">
        <v>9</v>
      </c>
      <c r="C21" s="77"/>
      <c r="D21" s="63"/>
      <c r="E21" s="63"/>
      <c r="F21" s="64"/>
      <c r="G21" s="77"/>
      <c r="H21" s="63"/>
      <c r="I21" s="63" t="s">
        <v>36</v>
      </c>
      <c r="J21" s="64" t="s">
        <v>36</v>
      </c>
      <c r="K21" s="77"/>
      <c r="L21" s="63" t="s">
        <v>37</v>
      </c>
      <c r="M21" s="63"/>
      <c r="N21" s="64"/>
      <c r="O21" s="77" t="s">
        <v>37</v>
      </c>
      <c r="P21" s="63" t="s">
        <v>37</v>
      </c>
      <c r="Q21" s="63"/>
      <c r="R21" s="64"/>
      <c r="S21" s="77" t="s">
        <v>83</v>
      </c>
      <c r="T21" s="63" t="s">
        <v>83</v>
      </c>
      <c r="U21" s="63" t="s">
        <v>83</v>
      </c>
      <c r="V21" s="64" t="s">
        <v>83</v>
      </c>
      <c r="W21" s="77"/>
      <c r="X21" s="63"/>
      <c r="Y21" s="63" t="s">
        <v>37</v>
      </c>
      <c r="Z21" s="64" t="s">
        <v>37</v>
      </c>
      <c r="AA21" s="1"/>
      <c r="AB21" s="80"/>
    </row>
    <row r="22" spans="1:33" ht="17.25" customHeight="1" x14ac:dyDescent="0.35">
      <c r="A22" s="17" t="s">
        <v>50</v>
      </c>
      <c r="B22" s="45" t="s">
        <v>7</v>
      </c>
      <c r="C22" s="75" t="s">
        <v>78</v>
      </c>
      <c r="D22" s="59" t="s">
        <v>106</v>
      </c>
      <c r="E22" s="59" t="s">
        <v>23</v>
      </c>
      <c r="F22" s="60" t="s">
        <v>23</v>
      </c>
      <c r="G22" s="75" t="s">
        <v>16</v>
      </c>
      <c r="H22" s="59" t="s">
        <v>16</v>
      </c>
      <c r="I22" s="59" t="s">
        <v>19</v>
      </c>
      <c r="J22" s="60"/>
      <c r="K22" s="75"/>
      <c r="L22" s="59"/>
      <c r="M22" s="59" t="s">
        <v>78</v>
      </c>
      <c r="N22" s="60" t="s">
        <v>106</v>
      </c>
      <c r="O22" s="75" t="s">
        <v>16</v>
      </c>
      <c r="P22" s="59" t="s">
        <v>16</v>
      </c>
      <c r="Q22" s="59"/>
      <c r="R22" s="60"/>
      <c r="S22" s="75" t="s">
        <v>23</v>
      </c>
      <c r="T22" s="59" t="s">
        <v>23</v>
      </c>
      <c r="U22" s="59"/>
      <c r="V22" s="60"/>
      <c r="W22" s="75" t="s">
        <v>19</v>
      </c>
      <c r="X22" s="59" t="s">
        <v>19</v>
      </c>
      <c r="Y22" s="59"/>
      <c r="Z22" s="60"/>
      <c r="AB22" s="80">
        <f>COUNTA(E22:Z22)*2.5</f>
        <v>32.5</v>
      </c>
    </row>
    <row r="23" spans="1:33" ht="17.25" customHeight="1" x14ac:dyDescent="0.35">
      <c r="A23" s="18" t="s">
        <v>50</v>
      </c>
      <c r="B23" s="46" t="s">
        <v>8</v>
      </c>
      <c r="C23" s="76" t="s">
        <v>107</v>
      </c>
      <c r="D23" s="61" t="s">
        <v>107</v>
      </c>
      <c r="E23" s="61" t="s">
        <v>82</v>
      </c>
      <c r="F23" s="62" t="s">
        <v>82</v>
      </c>
      <c r="G23" s="76" t="s">
        <v>90</v>
      </c>
      <c r="H23" s="61" t="s">
        <v>90</v>
      </c>
      <c r="I23" s="61" t="s">
        <v>105</v>
      </c>
      <c r="J23" s="62"/>
      <c r="K23" s="76"/>
      <c r="L23" s="61"/>
      <c r="M23" s="61" t="s">
        <v>107</v>
      </c>
      <c r="N23" s="62" t="s">
        <v>107</v>
      </c>
      <c r="O23" s="76" t="s">
        <v>90</v>
      </c>
      <c r="P23" s="61" t="s">
        <v>90</v>
      </c>
      <c r="Q23" s="61"/>
      <c r="R23" s="62"/>
      <c r="S23" s="76" t="s">
        <v>82</v>
      </c>
      <c r="T23" s="61" t="s">
        <v>82</v>
      </c>
      <c r="U23" s="61"/>
      <c r="V23" s="62"/>
      <c r="W23" s="76" t="s">
        <v>75</v>
      </c>
      <c r="X23" s="61" t="s">
        <v>75</v>
      </c>
      <c r="Y23" s="61"/>
      <c r="Z23" s="62"/>
      <c r="AB23" s="80"/>
    </row>
    <row r="24" spans="1:33" ht="18" customHeight="1" thickBot="1" x14ac:dyDescent="0.4">
      <c r="A24" s="19" t="s">
        <v>50</v>
      </c>
      <c r="B24" s="47" t="s">
        <v>9</v>
      </c>
      <c r="C24" s="77" t="s">
        <v>108</v>
      </c>
      <c r="D24" s="63" t="s">
        <v>10</v>
      </c>
      <c r="E24" s="63" t="s">
        <v>83</v>
      </c>
      <c r="F24" s="64" t="s">
        <v>83</v>
      </c>
      <c r="G24" s="77" t="s">
        <v>24</v>
      </c>
      <c r="H24" s="63" t="s">
        <v>24</v>
      </c>
      <c r="I24" s="63" t="s">
        <v>93</v>
      </c>
      <c r="J24" s="64"/>
      <c r="K24" s="77"/>
      <c r="L24" s="63"/>
      <c r="M24" s="63" t="s">
        <v>83</v>
      </c>
      <c r="N24" s="64" t="s">
        <v>83</v>
      </c>
      <c r="O24" s="77" t="s">
        <v>83</v>
      </c>
      <c r="P24" s="63" t="s">
        <v>83</v>
      </c>
      <c r="Q24" s="63"/>
      <c r="R24" s="64"/>
      <c r="S24" s="77" t="s">
        <v>92</v>
      </c>
      <c r="T24" s="63" t="s">
        <v>92</v>
      </c>
      <c r="U24" s="63"/>
      <c r="V24" s="64"/>
      <c r="W24" s="77" t="s">
        <v>83</v>
      </c>
      <c r="X24" s="63" t="s">
        <v>83</v>
      </c>
      <c r="Y24" s="63"/>
      <c r="Z24" s="64"/>
      <c r="AB24" s="80"/>
    </row>
    <row r="25" spans="1:33" ht="17.25" customHeight="1" x14ac:dyDescent="0.35">
      <c r="A25" s="17" t="s">
        <v>51</v>
      </c>
      <c r="B25" s="45" t="s">
        <v>7</v>
      </c>
      <c r="C25" s="75" t="s">
        <v>14</v>
      </c>
      <c r="D25" s="59" t="s">
        <v>14</v>
      </c>
      <c r="E25" s="59"/>
      <c r="F25" s="60"/>
      <c r="G25" s="75"/>
      <c r="H25" s="59"/>
      <c r="I25" s="59" t="s">
        <v>14</v>
      </c>
      <c r="J25" s="60" t="s">
        <v>14</v>
      </c>
      <c r="K25" s="75" t="s">
        <v>14</v>
      </c>
      <c r="L25" s="59"/>
      <c r="M25" s="59" t="s">
        <v>78</v>
      </c>
      <c r="N25" s="60" t="s">
        <v>106</v>
      </c>
      <c r="O25" s="75"/>
      <c r="P25" s="59"/>
      <c r="Q25" s="59"/>
      <c r="R25" s="60"/>
      <c r="S25" s="75" t="s">
        <v>14</v>
      </c>
      <c r="T25" s="59" t="s">
        <v>14</v>
      </c>
      <c r="U25" s="59" t="s">
        <v>14</v>
      </c>
      <c r="V25" s="60" t="s">
        <v>14</v>
      </c>
      <c r="W25" s="75" t="s">
        <v>42</v>
      </c>
      <c r="X25" s="59" t="s">
        <v>42</v>
      </c>
      <c r="Y25" s="59"/>
      <c r="Z25" s="60"/>
      <c r="AB25" s="80">
        <f>COUNTA(C25:X25)*2.5</f>
        <v>32.5</v>
      </c>
    </row>
    <row r="26" spans="1:33" ht="17.25" customHeight="1" x14ac:dyDescent="0.35">
      <c r="A26" s="18" t="s">
        <v>51</v>
      </c>
      <c r="B26" s="46" t="s">
        <v>8</v>
      </c>
      <c r="C26" s="76" t="s">
        <v>75</v>
      </c>
      <c r="D26" s="61" t="s">
        <v>75</v>
      </c>
      <c r="E26" s="61"/>
      <c r="F26" s="62"/>
      <c r="G26" s="76"/>
      <c r="H26" s="61"/>
      <c r="I26" s="61" t="s">
        <v>75</v>
      </c>
      <c r="J26" s="62" t="s">
        <v>75</v>
      </c>
      <c r="K26" s="76" t="s">
        <v>120</v>
      </c>
      <c r="L26" s="61"/>
      <c r="M26" s="61" t="s">
        <v>107</v>
      </c>
      <c r="N26" s="62" t="s">
        <v>107</v>
      </c>
      <c r="O26" s="76"/>
      <c r="P26" s="61"/>
      <c r="Q26" s="61"/>
      <c r="R26" s="62"/>
      <c r="S26" s="76" t="s">
        <v>75</v>
      </c>
      <c r="T26" s="61" t="s">
        <v>75</v>
      </c>
      <c r="U26" s="61" t="s">
        <v>75</v>
      </c>
      <c r="V26" s="62" t="s">
        <v>75</v>
      </c>
      <c r="W26" s="76" t="s">
        <v>46</v>
      </c>
      <c r="X26" s="61" t="s">
        <v>46</v>
      </c>
      <c r="Y26" s="61"/>
      <c r="Z26" s="62"/>
      <c r="AB26" s="80"/>
    </row>
    <row r="27" spans="1:33" ht="18" customHeight="1" thickBot="1" x14ac:dyDescent="0.4">
      <c r="A27" s="19" t="s">
        <v>51</v>
      </c>
      <c r="B27" s="47" t="s">
        <v>9</v>
      </c>
      <c r="C27" s="77" t="s">
        <v>37</v>
      </c>
      <c r="D27" s="63" t="s">
        <v>37</v>
      </c>
      <c r="E27" s="63"/>
      <c r="F27" s="64"/>
      <c r="G27" s="77"/>
      <c r="H27" s="63"/>
      <c r="I27" s="63" t="s">
        <v>37</v>
      </c>
      <c r="J27" s="64" t="s">
        <v>37</v>
      </c>
      <c r="K27" s="77" t="s">
        <v>37</v>
      </c>
      <c r="L27" s="63"/>
      <c r="M27" s="63" t="s">
        <v>83</v>
      </c>
      <c r="N27" s="64" t="s">
        <v>83</v>
      </c>
      <c r="O27" s="77"/>
      <c r="P27" s="63"/>
      <c r="Q27" s="63"/>
      <c r="R27" s="64"/>
      <c r="S27" s="77" t="s">
        <v>83</v>
      </c>
      <c r="T27" s="63" t="s">
        <v>83</v>
      </c>
      <c r="U27" s="63" t="s">
        <v>83</v>
      </c>
      <c r="V27" s="64" t="s">
        <v>83</v>
      </c>
      <c r="W27" s="77" t="s">
        <v>37</v>
      </c>
      <c r="X27" s="63" t="s">
        <v>37</v>
      </c>
      <c r="Y27" s="63"/>
      <c r="Z27" s="64"/>
      <c r="AB27" s="80"/>
    </row>
    <row r="28" spans="1:33" s="36" customFormat="1" ht="15.75" customHeight="1" x14ac:dyDescent="0.35">
      <c r="A28" s="35" t="s">
        <v>52</v>
      </c>
      <c r="B28" s="41" t="s">
        <v>7</v>
      </c>
      <c r="C28" s="75" t="s">
        <v>19</v>
      </c>
      <c r="D28" s="59" t="s">
        <v>19</v>
      </c>
      <c r="E28" s="59" t="s">
        <v>23</v>
      </c>
      <c r="F28" s="60" t="s">
        <v>23</v>
      </c>
      <c r="G28" s="75" t="s">
        <v>23</v>
      </c>
      <c r="H28" s="59" t="s">
        <v>23</v>
      </c>
      <c r="I28" s="59" t="s">
        <v>85</v>
      </c>
      <c r="J28" s="60"/>
      <c r="K28" s="75"/>
      <c r="L28" s="59"/>
      <c r="M28" s="59"/>
      <c r="N28" s="60"/>
      <c r="O28" s="75"/>
      <c r="P28" s="59"/>
      <c r="Q28" s="59"/>
      <c r="R28" s="60"/>
      <c r="S28" s="75"/>
      <c r="T28" s="59"/>
      <c r="U28" s="59" t="s">
        <v>85</v>
      </c>
      <c r="V28" s="60" t="s">
        <v>85</v>
      </c>
      <c r="W28" s="75" t="s">
        <v>19</v>
      </c>
      <c r="X28" s="59" t="s">
        <v>19</v>
      </c>
      <c r="Y28" s="59"/>
      <c r="Z28" s="60"/>
      <c r="AA28" s="44"/>
      <c r="AB28" s="84">
        <f t="shared" ref="AB28" si="2">COUNTA(C28:Z28)*2.5</f>
        <v>27.5</v>
      </c>
      <c r="AC28" s="38"/>
      <c r="AD28" s="38"/>
      <c r="AE28" s="38"/>
      <c r="AF28" s="38"/>
      <c r="AG28" s="38"/>
    </row>
    <row r="29" spans="1:33" s="36" customFormat="1" ht="15.75" customHeight="1" x14ac:dyDescent="0.35">
      <c r="A29" s="39" t="s">
        <v>52</v>
      </c>
      <c r="B29" s="42" t="s">
        <v>8</v>
      </c>
      <c r="C29" s="76" t="s">
        <v>75</v>
      </c>
      <c r="D29" s="61" t="s">
        <v>75</v>
      </c>
      <c r="E29" s="61" t="s">
        <v>82</v>
      </c>
      <c r="F29" s="62" t="s">
        <v>82</v>
      </c>
      <c r="G29" s="76" t="s">
        <v>82</v>
      </c>
      <c r="H29" s="61" t="s">
        <v>82</v>
      </c>
      <c r="I29" s="61" t="s">
        <v>46</v>
      </c>
      <c r="J29" s="62"/>
      <c r="K29" s="76"/>
      <c r="L29" s="61"/>
      <c r="M29" s="61"/>
      <c r="N29" s="62"/>
      <c r="O29" s="76"/>
      <c r="P29" s="61"/>
      <c r="Q29" s="61"/>
      <c r="R29" s="62"/>
      <c r="S29" s="76"/>
      <c r="T29" s="61"/>
      <c r="U29" s="61" t="s">
        <v>46</v>
      </c>
      <c r="V29" s="62" t="s">
        <v>46</v>
      </c>
      <c r="W29" s="76"/>
      <c r="X29" s="61"/>
      <c r="Y29" s="61"/>
      <c r="Z29" s="62"/>
      <c r="AA29" s="44"/>
      <c r="AB29" s="84"/>
      <c r="AC29" s="38"/>
      <c r="AD29" s="38"/>
      <c r="AE29" s="38"/>
      <c r="AF29" s="38"/>
      <c r="AG29" s="38"/>
    </row>
    <row r="30" spans="1:33" s="36" customFormat="1" ht="16.5" customHeight="1" thickBot="1" x14ac:dyDescent="0.4">
      <c r="A30" s="40" t="s">
        <v>52</v>
      </c>
      <c r="B30" s="43" t="s">
        <v>9</v>
      </c>
      <c r="C30" s="77" t="s">
        <v>93</v>
      </c>
      <c r="D30" s="63" t="s">
        <v>93</v>
      </c>
      <c r="E30" s="63" t="s">
        <v>83</v>
      </c>
      <c r="F30" s="64" t="s">
        <v>83</v>
      </c>
      <c r="G30" s="77" t="s">
        <v>40</v>
      </c>
      <c r="H30" s="63" t="s">
        <v>40</v>
      </c>
      <c r="I30" s="63" t="s">
        <v>83</v>
      </c>
      <c r="J30" s="64"/>
      <c r="K30" s="77"/>
      <c r="L30" s="63"/>
      <c r="M30" s="63"/>
      <c r="N30" s="64"/>
      <c r="O30" s="77"/>
      <c r="P30" s="63"/>
      <c r="Q30" s="63"/>
      <c r="R30" s="64"/>
      <c r="S30" s="77"/>
      <c r="T30" s="63"/>
      <c r="U30" s="63" t="s">
        <v>83</v>
      </c>
      <c r="V30" s="64" t="s">
        <v>83</v>
      </c>
      <c r="W30" s="77" t="s">
        <v>83</v>
      </c>
      <c r="X30" s="63" t="s">
        <v>83</v>
      </c>
      <c r="Y30" s="63"/>
      <c r="Z30" s="64"/>
      <c r="AA30" s="44"/>
      <c r="AB30" s="84"/>
      <c r="AC30" s="38"/>
      <c r="AD30" s="38"/>
      <c r="AE30" s="38"/>
      <c r="AF30" s="38"/>
      <c r="AG30" s="38"/>
    </row>
    <row r="31" spans="1:33" s="36" customFormat="1" ht="17.25" customHeight="1" x14ac:dyDescent="0.35">
      <c r="A31" s="35" t="s">
        <v>53</v>
      </c>
      <c r="B31" s="41" t="s">
        <v>7</v>
      </c>
      <c r="C31" s="75" t="s">
        <v>85</v>
      </c>
      <c r="D31" s="59" t="s">
        <v>85</v>
      </c>
      <c r="E31" s="59" t="s">
        <v>23</v>
      </c>
      <c r="F31" s="60" t="s">
        <v>23</v>
      </c>
      <c r="G31" s="75" t="s">
        <v>85</v>
      </c>
      <c r="H31" s="59" t="s">
        <v>85</v>
      </c>
      <c r="I31" s="59" t="s">
        <v>85</v>
      </c>
      <c r="J31" s="60"/>
      <c r="K31" s="75" t="s">
        <v>19</v>
      </c>
      <c r="L31" s="59" t="s">
        <v>19</v>
      </c>
      <c r="M31" s="59"/>
      <c r="N31" s="60"/>
      <c r="O31" s="75" t="s">
        <v>23</v>
      </c>
      <c r="P31" s="59" t="s">
        <v>23</v>
      </c>
      <c r="Q31" s="59" t="s">
        <v>88</v>
      </c>
      <c r="R31" s="60" t="s">
        <v>88</v>
      </c>
      <c r="S31" s="75" t="s">
        <v>19</v>
      </c>
      <c r="T31" s="59" t="s">
        <v>19</v>
      </c>
      <c r="U31" s="59" t="s">
        <v>85</v>
      </c>
      <c r="V31" s="60" t="s">
        <v>85</v>
      </c>
      <c r="W31" s="75" t="s">
        <v>19</v>
      </c>
      <c r="X31" s="59" t="s">
        <v>19</v>
      </c>
      <c r="Y31" s="59"/>
      <c r="Z31" s="60"/>
      <c r="AA31" s="58"/>
      <c r="AB31" s="84">
        <f t="shared" ref="AB31" si="3">COUNTA(C31:Z31)*2.5</f>
        <v>47.5</v>
      </c>
      <c r="AC31" s="38"/>
      <c r="AD31" s="38"/>
      <c r="AE31" s="38"/>
      <c r="AF31" s="38"/>
      <c r="AG31" s="38"/>
    </row>
    <row r="32" spans="1:33" s="36" customFormat="1" ht="17.25" customHeight="1" x14ac:dyDescent="0.35">
      <c r="A32" s="39" t="s">
        <v>53</v>
      </c>
      <c r="B32" s="42" t="s">
        <v>8</v>
      </c>
      <c r="C32" s="76" t="s">
        <v>46</v>
      </c>
      <c r="D32" s="61" t="s">
        <v>46</v>
      </c>
      <c r="E32" s="61" t="s">
        <v>82</v>
      </c>
      <c r="F32" s="62" t="s">
        <v>82</v>
      </c>
      <c r="G32" s="76" t="s">
        <v>46</v>
      </c>
      <c r="H32" s="61" t="s">
        <v>46</v>
      </c>
      <c r="I32" s="61" t="s">
        <v>46</v>
      </c>
      <c r="J32" s="62"/>
      <c r="K32" s="76" t="s">
        <v>75</v>
      </c>
      <c r="L32" s="61" t="s">
        <v>75</v>
      </c>
      <c r="M32" s="61"/>
      <c r="N32" s="62"/>
      <c r="O32" s="76" t="s">
        <v>82</v>
      </c>
      <c r="P32" s="61" t="s">
        <v>82</v>
      </c>
      <c r="Q32" s="61" t="s">
        <v>89</v>
      </c>
      <c r="R32" s="62" t="s">
        <v>89</v>
      </c>
      <c r="S32" s="76" t="s">
        <v>75</v>
      </c>
      <c r="T32" s="61" t="s">
        <v>75</v>
      </c>
      <c r="U32" s="61" t="s">
        <v>46</v>
      </c>
      <c r="V32" s="62" t="s">
        <v>46</v>
      </c>
      <c r="W32" s="76" t="s">
        <v>75</v>
      </c>
      <c r="X32" s="61" t="s">
        <v>75</v>
      </c>
      <c r="Y32" s="61"/>
      <c r="Z32" s="62"/>
      <c r="AA32" s="37"/>
      <c r="AB32" s="84"/>
      <c r="AC32" s="38"/>
      <c r="AD32" s="38"/>
      <c r="AE32" s="38"/>
      <c r="AF32" s="38"/>
      <c r="AG32" s="38"/>
    </row>
    <row r="33" spans="1:33" s="36" customFormat="1" ht="18" customHeight="1" thickBot="1" x14ac:dyDescent="0.4">
      <c r="A33" s="40" t="s">
        <v>53</v>
      </c>
      <c r="B33" s="43" t="s">
        <v>9</v>
      </c>
      <c r="C33" s="77" t="s">
        <v>27</v>
      </c>
      <c r="D33" s="63" t="s">
        <v>27</v>
      </c>
      <c r="E33" s="63" t="s">
        <v>83</v>
      </c>
      <c r="F33" s="64" t="s">
        <v>83</v>
      </c>
      <c r="G33" s="77" t="s">
        <v>27</v>
      </c>
      <c r="H33" s="63" t="s">
        <v>27</v>
      </c>
      <c r="I33" s="63" t="s">
        <v>83</v>
      </c>
      <c r="J33" s="64"/>
      <c r="K33" s="77" t="s">
        <v>93</v>
      </c>
      <c r="L33" s="63" t="s">
        <v>93</v>
      </c>
      <c r="M33" s="63"/>
      <c r="N33" s="64"/>
      <c r="O33" s="77" t="s">
        <v>92</v>
      </c>
      <c r="P33" s="63" t="s">
        <v>92</v>
      </c>
      <c r="Q33" s="63" t="s">
        <v>10</v>
      </c>
      <c r="R33" s="64" t="s">
        <v>10</v>
      </c>
      <c r="S33" s="77" t="s">
        <v>93</v>
      </c>
      <c r="T33" s="63" t="s">
        <v>93</v>
      </c>
      <c r="U33" s="63" t="s">
        <v>83</v>
      </c>
      <c r="V33" s="64" t="s">
        <v>83</v>
      </c>
      <c r="W33" s="77" t="s">
        <v>83</v>
      </c>
      <c r="X33" s="63" t="s">
        <v>83</v>
      </c>
      <c r="Y33" s="63"/>
      <c r="Z33" s="64"/>
      <c r="AA33" s="37"/>
      <c r="AB33" s="84"/>
      <c r="AC33" s="38"/>
      <c r="AD33" s="38"/>
      <c r="AE33" s="38"/>
      <c r="AF33" s="38"/>
      <c r="AG33" s="38"/>
    </row>
    <row r="34" spans="1:33" s="36" customFormat="1" ht="17.25" customHeight="1" x14ac:dyDescent="0.35">
      <c r="A34" s="35" t="s">
        <v>54</v>
      </c>
      <c r="B34" s="41" t="s">
        <v>7</v>
      </c>
      <c r="C34" s="75"/>
      <c r="D34" s="59"/>
      <c r="E34" s="59"/>
      <c r="F34" s="60"/>
      <c r="G34" s="75" t="s">
        <v>88</v>
      </c>
      <c r="H34" s="59" t="s">
        <v>88</v>
      </c>
      <c r="I34" s="59"/>
      <c r="J34" s="60"/>
      <c r="K34" s="75"/>
      <c r="L34" s="59"/>
      <c r="M34" s="59"/>
      <c r="N34" s="60"/>
      <c r="O34" s="75" t="s">
        <v>88</v>
      </c>
      <c r="P34" s="59" t="s">
        <v>88</v>
      </c>
      <c r="Q34" s="59" t="s">
        <v>94</v>
      </c>
      <c r="R34" s="60" t="s">
        <v>94</v>
      </c>
      <c r="S34" s="75"/>
      <c r="T34" s="59"/>
      <c r="U34" s="59"/>
      <c r="V34" s="60"/>
      <c r="W34" s="75" t="s">
        <v>80</v>
      </c>
      <c r="X34" s="59" t="s">
        <v>80</v>
      </c>
      <c r="Y34" s="59"/>
      <c r="Z34" s="60"/>
      <c r="AA34" s="37"/>
      <c r="AB34" s="84">
        <f>COUNTA(C34:Z34)*2.5</f>
        <v>20</v>
      </c>
      <c r="AC34" s="38"/>
      <c r="AD34" s="38"/>
      <c r="AE34" s="38"/>
      <c r="AF34" s="38"/>
      <c r="AG34" s="38"/>
    </row>
    <row r="35" spans="1:33" s="36" customFormat="1" ht="17.25" customHeight="1" x14ac:dyDescent="0.35">
      <c r="A35" s="39" t="s">
        <v>54</v>
      </c>
      <c r="B35" s="42" t="s">
        <v>8</v>
      </c>
      <c r="C35" s="76"/>
      <c r="D35" s="61"/>
      <c r="E35" s="61"/>
      <c r="F35" s="62"/>
      <c r="G35" s="76" t="s">
        <v>89</v>
      </c>
      <c r="H35" s="61" t="s">
        <v>89</v>
      </c>
      <c r="I35" s="61"/>
      <c r="J35" s="62"/>
      <c r="K35" s="76"/>
      <c r="L35" s="61"/>
      <c r="M35" s="61"/>
      <c r="N35" s="62"/>
      <c r="O35" s="76" t="s">
        <v>89</v>
      </c>
      <c r="P35" s="61" t="s">
        <v>89</v>
      </c>
      <c r="Q35" s="61" t="s">
        <v>74</v>
      </c>
      <c r="R35" s="62" t="s">
        <v>95</v>
      </c>
      <c r="S35" s="76"/>
      <c r="T35" s="61"/>
      <c r="U35" s="61"/>
      <c r="V35" s="62"/>
      <c r="W35" s="76" t="s">
        <v>74</v>
      </c>
      <c r="X35" s="61" t="s">
        <v>95</v>
      </c>
      <c r="Y35" s="61"/>
      <c r="Z35" s="62"/>
      <c r="AA35" s="37"/>
      <c r="AB35" s="84"/>
      <c r="AC35" s="38"/>
      <c r="AD35" s="38"/>
      <c r="AE35" s="38"/>
      <c r="AF35" s="38"/>
      <c r="AG35" s="38"/>
    </row>
    <row r="36" spans="1:33" s="36" customFormat="1" ht="18" customHeight="1" thickBot="1" x14ac:dyDescent="0.4">
      <c r="A36" s="40" t="s">
        <v>54</v>
      </c>
      <c r="B36" s="43" t="s">
        <v>9</v>
      </c>
      <c r="C36" s="77"/>
      <c r="D36" s="63"/>
      <c r="E36" s="63"/>
      <c r="F36" s="64"/>
      <c r="G36" s="77" t="s">
        <v>10</v>
      </c>
      <c r="H36" s="63" t="s">
        <v>10</v>
      </c>
      <c r="I36" s="63"/>
      <c r="J36" s="64"/>
      <c r="K36" s="77"/>
      <c r="L36" s="63"/>
      <c r="M36" s="63"/>
      <c r="N36" s="64"/>
      <c r="O36" s="77" t="s">
        <v>10</v>
      </c>
      <c r="P36" s="63" t="s">
        <v>10</v>
      </c>
      <c r="Q36" s="63" t="s">
        <v>13</v>
      </c>
      <c r="R36" s="64" t="s">
        <v>13</v>
      </c>
      <c r="S36" s="77"/>
      <c r="T36" s="63"/>
      <c r="U36" s="63"/>
      <c r="V36" s="64"/>
      <c r="W36" s="77" t="s">
        <v>83</v>
      </c>
      <c r="X36" s="63" t="s">
        <v>83</v>
      </c>
      <c r="Y36" s="63"/>
      <c r="Z36" s="64"/>
      <c r="AA36" s="37"/>
      <c r="AB36" s="84"/>
      <c r="AC36" s="38"/>
      <c r="AD36" s="38"/>
      <c r="AE36" s="38"/>
      <c r="AF36" s="38"/>
      <c r="AG36" s="38"/>
    </row>
    <row r="37" spans="1:33" s="36" customFormat="1" ht="17.25" customHeight="1" x14ac:dyDescent="0.35">
      <c r="A37" s="35" t="s">
        <v>55</v>
      </c>
      <c r="B37" s="41" t="s">
        <v>7</v>
      </c>
      <c r="C37" s="75"/>
      <c r="D37" s="59"/>
      <c r="E37" s="59" t="s">
        <v>94</v>
      </c>
      <c r="F37" s="60" t="s">
        <v>94</v>
      </c>
      <c r="G37" s="75"/>
      <c r="H37" s="59"/>
      <c r="I37" s="59" t="s">
        <v>94</v>
      </c>
      <c r="J37" s="60" t="s">
        <v>94</v>
      </c>
      <c r="K37" s="75" t="s">
        <v>17</v>
      </c>
      <c r="L37" s="59" t="s">
        <v>17</v>
      </c>
      <c r="M37" s="59"/>
      <c r="N37" s="60"/>
      <c r="O37" s="75"/>
      <c r="P37" s="59"/>
      <c r="Q37" s="59" t="s">
        <v>109</v>
      </c>
      <c r="R37" s="60" t="s">
        <v>110</v>
      </c>
      <c r="S37" s="75" t="s">
        <v>94</v>
      </c>
      <c r="T37" s="59" t="s">
        <v>94</v>
      </c>
      <c r="U37" s="59" t="s">
        <v>94</v>
      </c>
      <c r="V37" s="60" t="s">
        <v>94</v>
      </c>
      <c r="W37" s="75" t="s">
        <v>94</v>
      </c>
      <c r="X37" s="59" t="s">
        <v>94</v>
      </c>
      <c r="Y37" s="59"/>
      <c r="Z37" s="60"/>
      <c r="AA37" s="37"/>
      <c r="AB37" s="84">
        <f t="shared" ref="AB37" si="4">COUNTA(C37:Z37)*2.5</f>
        <v>35</v>
      </c>
      <c r="AC37" s="38"/>
      <c r="AD37" s="38"/>
      <c r="AE37" s="38"/>
      <c r="AF37" s="38"/>
      <c r="AG37" s="38"/>
    </row>
    <row r="38" spans="1:33" s="36" customFormat="1" ht="17.25" customHeight="1" x14ac:dyDescent="0.35">
      <c r="A38" s="39" t="s">
        <v>55</v>
      </c>
      <c r="B38" s="42" t="s">
        <v>8</v>
      </c>
      <c r="C38" s="76"/>
      <c r="D38" s="61"/>
      <c r="E38" s="61" t="s">
        <v>74</v>
      </c>
      <c r="F38" s="62" t="s">
        <v>95</v>
      </c>
      <c r="G38" s="76"/>
      <c r="H38" s="61"/>
      <c r="I38" s="61" t="s">
        <v>74</v>
      </c>
      <c r="J38" s="62" t="s">
        <v>95</v>
      </c>
      <c r="K38" s="76" t="s">
        <v>46</v>
      </c>
      <c r="L38" s="61" t="s">
        <v>46</v>
      </c>
      <c r="M38" s="61"/>
      <c r="N38" s="62"/>
      <c r="O38" s="76"/>
      <c r="P38" s="61"/>
      <c r="Q38" s="61" t="s">
        <v>107</v>
      </c>
      <c r="R38" s="62" t="s">
        <v>107</v>
      </c>
      <c r="S38" s="76" t="s">
        <v>74</v>
      </c>
      <c r="T38" s="61" t="s">
        <v>95</v>
      </c>
      <c r="U38" s="61" t="s">
        <v>74</v>
      </c>
      <c r="V38" s="62" t="s">
        <v>95</v>
      </c>
      <c r="W38" s="76" t="s">
        <v>74</v>
      </c>
      <c r="X38" s="61" t="s">
        <v>95</v>
      </c>
      <c r="Y38" s="61"/>
      <c r="Z38" s="62"/>
      <c r="AA38" s="37"/>
      <c r="AB38" s="84"/>
      <c r="AC38" s="38"/>
      <c r="AD38" s="38"/>
      <c r="AE38" s="38"/>
      <c r="AF38" s="38"/>
      <c r="AG38" s="38"/>
    </row>
    <row r="39" spans="1:33" s="36" customFormat="1" ht="18" customHeight="1" thickBot="1" x14ac:dyDescent="0.4">
      <c r="A39" s="40" t="s">
        <v>55</v>
      </c>
      <c r="B39" s="43" t="s">
        <v>9</v>
      </c>
      <c r="C39" s="77"/>
      <c r="D39" s="63"/>
      <c r="E39" s="63" t="s">
        <v>83</v>
      </c>
      <c r="F39" s="64" t="s">
        <v>83</v>
      </c>
      <c r="G39" s="77"/>
      <c r="H39" s="63"/>
      <c r="I39" s="63" t="s">
        <v>83</v>
      </c>
      <c r="J39" s="64" t="s">
        <v>83</v>
      </c>
      <c r="K39" s="77" t="s">
        <v>36</v>
      </c>
      <c r="L39" s="63" t="s">
        <v>36</v>
      </c>
      <c r="M39" s="63"/>
      <c r="N39" s="64"/>
      <c r="O39" s="77"/>
      <c r="P39" s="63"/>
      <c r="Q39" s="63" t="s">
        <v>83</v>
      </c>
      <c r="R39" s="64" t="s">
        <v>83</v>
      </c>
      <c r="S39" s="77" t="s">
        <v>83</v>
      </c>
      <c r="T39" s="63" t="s">
        <v>83</v>
      </c>
      <c r="U39" s="63" t="s">
        <v>83</v>
      </c>
      <c r="V39" s="64" t="s">
        <v>83</v>
      </c>
      <c r="W39" s="77" t="s">
        <v>83</v>
      </c>
      <c r="X39" s="63" t="s">
        <v>83</v>
      </c>
      <c r="Y39" s="63"/>
      <c r="Z39" s="64"/>
      <c r="AA39" s="37"/>
      <c r="AB39" s="84"/>
      <c r="AC39" s="38"/>
      <c r="AD39" s="38"/>
      <c r="AE39" s="38"/>
      <c r="AF39" s="38"/>
      <c r="AG39" s="38"/>
    </row>
    <row r="40" spans="1:33" s="36" customFormat="1" ht="17.25" customHeight="1" x14ac:dyDescent="0.35">
      <c r="A40" s="35" t="s">
        <v>56</v>
      </c>
      <c r="B40" s="41" t="s">
        <v>7</v>
      </c>
      <c r="C40" s="75"/>
      <c r="D40" s="59"/>
      <c r="E40" s="59" t="s">
        <v>94</v>
      </c>
      <c r="F40" s="60" t="s">
        <v>94</v>
      </c>
      <c r="G40" s="75" t="s">
        <v>17</v>
      </c>
      <c r="H40" s="59" t="s">
        <v>17</v>
      </c>
      <c r="I40" s="59" t="s">
        <v>94</v>
      </c>
      <c r="J40" s="60" t="s">
        <v>94</v>
      </c>
      <c r="K40" s="75"/>
      <c r="L40" s="59"/>
      <c r="M40" s="59"/>
      <c r="N40" s="60"/>
      <c r="O40" s="75" t="s">
        <v>17</v>
      </c>
      <c r="P40" s="59" t="s">
        <v>17</v>
      </c>
      <c r="Q40" s="59" t="s">
        <v>17</v>
      </c>
      <c r="R40" s="60"/>
      <c r="S40" s="75" t="s">
        <v>94</v>
      </c>
      <c r="T40" s="59" t="s">
        <v>94</v>
      </c>
      <c r="U40" s="59" t="s">
        <v>94</v>
      </c>
      <c r="V40" s="60" t="s">
        <v>94</v>
      </c>
      <c r="W40" s="75" t="s">
        <v>94</v>
      </c>
      <c r="X40" s="59" t="s">
        <v>94</v>
      </c>
      <c r="Y40" s="59"/>
      <c r="Z40" s="60"/>
      <c r="AA40" s="44"/>
      <c r="AB40" s="84">
        <f>COUNTA(C40:Z40)*2.5</f>
        <v>37.5</v>
      </c>
      <c r="AC40" s="38"/>
      <c r="AD40" s="38"/>
      <c r="AE40" s="38"/>
      <c r="AF40" s="38"/>
      <c r="AG40" s="38"/>
    </row>
    <row r="41" spans="1:33" s="36" customFormat="1" ht="17.25" customHeight="1" x14ac:dyDescent="0.35">
      <c r="A41" s="39" t="s">
        <v>56</v>
      </c>
      <c r="B41" s="42" t="s">
        <v>8</v>
      </c>
      <c r="C41" s="76"/>
      <c r="D41" s="61"/>
      <c r="E41" s="61" t="s">
        <v>74</v>
      </c>
      <c r="F41" s="62" t="s">
        <v>95</v>
      </c>
      <c r="G41" s="76" t="s">
        <v>46</v>
      </c>
      <c r="H41" s="61" t="s">
        <v>46</v>
      </c>
      <c r="I41" s="61" t="s">
        <v>74</v>
      </c>
      <c r="J41" s="62" t="s">
        <v>95</v>
      </c>
      <c r="K41" s="76"/>
      <c r="L41" s="61"/>
      <c r="M41" s="61"/>
      <c r="N41" s="62"/>
      <c r="O41" s="76" t="s">
        <v>46</v>
      </c>
      <c r="P41" s="61" t="s">
        <v>46</v>
      </c>
      <c r="Q41" s="61" t="s">
        <v>46</v>
      </c>
      <c r="R41" s="62"/>
      <c r="S41" s="76" t="s">
        <v>74</v>
      </c>
      <c r="T41" s="61" t="s">
        <v>95</v>
      </c>
      <c r="U41" s="61" t="s">
        <v>74</v>
      </c>
      <c r="V41" s="62" t="s">
        <v>95</v>
      </c>
      <c r="W41" s="76" t="s">
        <v>74</v>
      </c>
      <c r="X41" s="61" t="s">
        <v>95</v>
      </c>
      <c r="Y41" s="61"/>
      <c r="Z41" s="62"/>
      <c r="AA41" s="44"/>
      <c r="AB41" s="84"/>
      <c r="AC41" s="38"/>
      <c r="AD41" s="38"/>
      <c r="AE41" s="38"/>
      <c r="AF41" s="38"/>
      <c r="AG41" s="38"/>
    </row>
    <row r="42" spans="1:33" s="36" customFormat="1" ht="16.5" customHeight="1" thickBot="1" x14ac:dyDescent="0.4">
      <c r="A42" s="40" t="s">
        <v>56</v>
      </c>
      <c r="B42" s="43" t="s">
        <v>9</v>
      </c>
      <c r="C42" s="77"/>
      <c r="D42" s="63"/>
      <c r="E42" s="63" t="s">
        <v>83</v>
      </c>
      <c r="F42" s="64" t="s">
        <v>83</v>
      </c>
      <c r="G42" s="77" t="s">
        <v>36</v>
      </c>
      <c r="H42" s="63" t="s">
        <v>36</v>
      </c>
      <c r="I42" s="63" t="s">
        <v>83</v>
      </c>
      <c r="J42" s="64" t="s">
        <v>83</v>
      </c>
      <c r="K42" s="77"/>
      <c r="L42" s="63"/>
      <c r="M42" s="63"/>
      <c r="N42" s="64"/>
      <c r="O42" s="77" t="s">
        <v>36</v>
      </c>
      <c r="P42" s="63" t="s">
        <v>36</v>
      </c>
      <c r="Q42" s="63" t="s">
        <v>36</v>
      </c>
      <c r="R42" s="64"/>
      <c r="S42" s="77" t="s">
        <v>83</v>
      </c>
      <c r="T42" s="63" t="s">
        <v>83</v>
      </c>
      <c r="U42" s="63" t="s">
        <v>83</v>
      </c>
      <c r="V42" s="64" t="s">
        <v>83</v>
      </c>
      <c r="W42" s="77" t="s">
        <v>83</v>
      </c>
      <c r="X42" s="63" t="s">
        <v>83</v>
      </c>
      <c r="Y42" s="63"/>
      <c r="Z42" s="64"/>
      <c r="AA42" s="44"/>
      <c r="AB42" s="84"/>
      <c r="AC42" s="38"/>
      <c r="AD42" s="38"/>
      <c r="AE42" s="38"/>
      <c r="AF42" s="38"/>
      <c r="AG42" s="38"/>
    </row>
    <row r="43" spans="1:33" s="36" customFormat="1" ht="18" customHeight="1" x14ac:dyDescent="0.35">
      <c r="A43" s="35" t="s">
        <v>57</v>
      </c>
      <c r="B43" s="41" t="s">
        <v>7</v>
      </c>
      <c r="C43" s="75" t="s">
        <v>80</v>
      </c>
      <c r="D43" s="59" t="s">
        <v>80</v>
      </c>
      <c r="E43" s="59"/>
      <c r="F43" s="60"/>
      <c r="G43" s="75"/>
      <c r="H43" s="59"/>
      <c r="I43" s="59" t="s">
        <v>17</v>
      </c>
      <c r="J43" s="60" t="s">
        <v>17</v>
      </c>
      <c r="K43" s="75" t="s">
        <v>86</v>
      </c>
      <c r="L43" s="59" t="s">
        <v>86</v>
      </c>
      <c r="M43" s="59" t="s">
        <v>80</v>
      </c>
      <c r="N43" s="60" t="s">
        <v>80</v>
      </c>
      <c r="O43" s="75" t="s">
        <v>85</v>
      </c>
      <c r="P43" s="59" t="s">
        <v>85</v>
      </c>
      <c r="Q43" s="59" t="s">
        <v>85</v>
      </c>
      <c r="R43" s="60"/>
      <c r="S43" s="75" t="s">
        <v>80</v>
      </c>
      <c r="T43" s="59" t="s">
        <v>80</v>
      </c>
      <c r="U43" s="59" t="s">
        <v>17</v>
      </c>
      <c r="V43" s="60" t="s">
        <v>17</v>
      </c>
      <c r="W43" s="75" t="s">
        <v>85</v>
      </c>
      <c r="X43" s="59" t="s">
        <v>85</v>
      </c>
      <c r="Y43" s="59"/>
      <c r="Z43" s="60"/>
      <c r="AA43" s="37"/>
      <c r="AB43" s="84">
        <f>COUNTA(C43:Z43)*2.5</f>
        <v>42.5</v>
      </c>
      <c r="AC43" s="38"/>
      <c r="AD43" s="38"/>
      <c r="AE43" s="38"/>
      <c r="AF43" s="38"/>
      <c r="AG43" s="38"/>
    </row>
    <row r="44" spans="1:33" s="36" customFormat="1" ht="18" customHeight="1" x14ac:dyDescent="0.35">
      <c r="A44" s="39" t="s">
        <v>57</v>
      </c>
      <c r="B44" s="42" t="s">
        <v>8</v>
      </c>
      <c r="C44" s="76" t="s">
        <v>74</v>
      </c>
      <c r="D44" s="61" t="s">
        <v>95</v>
      </c>
      <c r="E44" s="61"/>
      <c r="F44" s="62"/>
      <c r="G44" s="76"/>
      <c r="H44" s="61"/>
      <c r="I44" s="61" t="s">
        <v>46</v>
      </c>
      <c r="J44" s="62" t="s">
        <v>46</v>
      </c>
      <c r="K44" s="76" t="s">
        <v>79</v>
      </c>
      <c r="L44" s="61" t="s">
        <v>79</v>
      </c>
      <c r="M44" s="61" t="s">
        <v>74</v>
      </c>
      <c r="N44" s="62" t="s">
        <v>95</v>
      </c>
      <c r="O44" s="76" t="s">
        <v>46</v>
      </c>
      <c r="P44" s="61" t="s">
        <v>46</v>
      </c>
      <c r="Q44" s="61" t="s">
        <v>119</v>
      </c>
      <c r="R44" s="62"/>
      <c r="S44" s="76" t="s">
        <v>74</v>
      </c>
      <c r="T44" s="61" t="s">
        <v>95</v>
      </c>
      <c r="U44" s="61" t="s">
        <v>46</v>
      </c>
      <c r="V44" s="62" t="s">
        <v>46</v>
      </c>
      <c r="W44" s="76" t="s">
        <v>46</v>
      </c>
      <c r="X44" s="61" t="s">
        <v>46</v>
      </c>
      <c r="Y44" s="61"/>
      <c r="Z44" s="62"/>
      <c r="AA44" s="37"/>
      <c r="AB44" s="84"/>
      <c r="AC44" s="38"/>
      <c r="AD44" s="38"/>
      <c r="AE44" s="38"/>
      <c r="AF44" s="38"/>
      <c r="AG44" s="38"/>
    </row>
    <row r="45" spans="1:33" s="36" customFormat="1" ht="18" customHeight="1" thickBot="1" x14ac:dyDescent="0.4">
      <c r="A45" s="40" t="s">
        <v>57</v>
      </c>
      <c r="B45" s="43" t="s">
        <v>9</v>
      </c>
      <c r="C45" s="77" t="s">
        <v>83</v>
      </c>
      <c r="D45" s="63" t="s">
        <v>83</v>
      </c>
      <c r="E45" s="63"/>
      <c r="F45" s="64"/>
      <c r="G45" s="77"/>
      <c r="H45" s="63"/>
      <c r="I45" s="63" t="s">
        <v>83</v>
      </c>
      <c r="J45" s="64" t="s">
        <v>83</v>
      </c>
      <c r="K45" s="77" t="s">
        <v>26</v>
      </c>
      <c r="L45" s="63" t="s">
        <v>26</v>
      </c>
      <c r="M45" s="63" t="s">
        <v>13</v>
      </c>
      <c r="N45" s="64" t="s">
        <v>13</v>
      </c>
      <c r="O45" s="77" t="s">
        <v>83</v>
      </c>
      <c r="P45" s="63" t="s">
        <v>83</v>
      </c>
      <c r="Q45" s="63" t="s">
        <v>37</v>
      </c>
      <c r="R45" s="64"/>
      <c r="S45" s="77" t="s">
        <v>13</v>
      </c>
      <c r="T45" s="63" t="s">
        <v>13</v>
      </c>
      <c r="U45" s="63" t="s">
        <v>43</v>
      </c>
      <c r="V45" s="64" t="s">
        <v>83</v>
      </c>
      <c r="W45" s="77" t="s">
        <v>83</v>
      </c>
      <c r="X45" s="63" t="s">
        <v>83</v>
      </c>
      <c r="Y45" s="63"/>
      <c r="Z45" s="64"/>
      <c r="AA45" s="37"/>
      <c r="AB45" s="84"/>
      <c r="AC45" s="38"/>
      <c r="AD45" s="38"/>
      <c r="AE45" s="38"/>
      <c r="AF45" s="38"/>
      <c r="AG45" s="38"/>
    </row>
    <row r="46" spans="1:33" s="36" customFormat="1" ht="17.25" customHeight="1" x14ac:dyDescent="0.35">
      <c r="A46" s="35" t="s">
        <v>58</v>
      </c>
      <c r="B46" s="41" t="s">
        <v>7</v>
      </c>
      <c r="C46" s="75" t="s">
        <v>17</v>
      </c>
      <c r="D46" s="59" t="s">
        <v>17</v>
      </c>
      <c r="E46" s="59" t="s">
        <v>23</v>
      </c>
      <c r="F46" s="60" t="s">
        <v>23</v>
      </c>
      <c r="G46" s="75" t="s">
        <v>19</v>
      </c>
      <c r="H46" s="59" t="s">
        <v>19</v>
      </c>
      <c r="I46" s="59"/>
      <c r="J46" s="60"/>
      <c r="K46" s="75" t="s">
        <v>23</v>
      </c>
      <c r="L46" s="59" t="s">
        <v>23</v>
      </c>
      <c r="M46" s="59"/>
      <c r="N46" s="60"/>
      <c r="O46" s="75" t="s">
        <v>19</v>
      </c>
      <c r="P46" s="59" t="s">
        <v>19</v>
      </c>
      <c r="Q46" s="59" t="s">
        <v>23</v>
      </c>
      <c r="R46" s="60" t="s">
        <v>23</v>
      </c>
      <c r="S46" s="75" t="s">
        <v>17</v>
      </c>
      <c r="T46" s="59" t="s">
        <v>17</v>
      </c>
      <c r="U46" s="59" t="s">
        <v>17</v>
      </c>
      <c r="V46" s="60" t="s">
        <v>17</v>
      </c>
      <c r="W46" s="75" t="s">
        <v>19</v>
      </c>
      <c r="X46" s="59" t="s">
        <v>19</v>
      </c>
      <c r="Y46" s="59"/>
      <c r="Z46" s="60"/>
      <c r="AA46" s="37"/>
      <c r="AB46" s="84">
        <f>COUNTA(E46:Z46)*2.5</f>
        <v>40</v>
      </c>
      <c r="AC46" s="38"/>
      <c r="AD46" s="38"/>
      <c r="AE46" s="38"/>
      <c r="AF46" s="38"/>
      <c r="AG46" s="38"/>
    </row>
    <row r="47" spans="1:33" s="36" customFormat="1" ht="17.25" customHeight="1" x14ac:dyDescent="0.35">
      <c r="A47" s="39" t="s">
        <v>58</v>
      </c>
      <c r="B47" s="42" t="s">
        <v>8</v>
      </c>
      <c r="C47" s="76" t="s">
        <v>46</v>
      </c>
      <c r="D47" s="61" t="s">
        <v>46</v>
      </c>
      <c r="E47" s="61" t="s">
        <v>82</v>
      </c>
      <c r="F47" s="62" t="s">
        <v>82</v>
      </c>
      <c r="G47" s="76" t="s">
        <v>75</v>
      </c>
      <c r="H47" s="61" t="s">
        <v>75</v>
      </c>
      <c r="I47" s="61"/>
      <c r="J47" s="62"/>
      <c r="K47" s="76" t="s">
        <v>82</v>
      </c>
      <c r="L47" s="61" t="s">
        <v>82</v>
      </c>
      <c r="M47" s="61"/>
      <c r="N47" s="62"/>
      <c r="O47" s="76" t="s">
        <v>75</v>
      </c>
      <c r="P47" s="61" t="s">
        <v>75</v>
      </c>
      <c r="Q47" s="61" t="s">
        <v>82</v>
      </c>
      <c r="R47" s="62" t="s">
        <v>82</v>
      </c>
      <c r="S47" s="76" t="s">
        <v>46</v>
      </c>
      <c r="T47" s="61" t="s">
        <v>46</v>
      </c>
      <c r="U47" s="61" t="s">
        <v>46</v>
      </c>
      <c r="V47" s="62" t="s">
        <v>46</v>
      </c>
      <c r="W47" s="76" t="s">
        <v>75</v>
      </c>
      <c r="X47" s="61" t="s">
        <v>75</v>
      </c>
      <c r="Y47" s="61"/>
      <c r="Z47" s="62"/>
      <c r="AA47" s="37"/>
      <c r="AB47" s="84"/>
      <c r="AC47" s="38"/>
      <c r="AD47" s="38"/>
      <c r="AE47" s="38"/>
      <c r="AF47" s="38"/>
      <c r="AG47" s="38"/>
    </row>
    <row r="48" spans="1:33" s="36" customFormat="1" ht="16.5" customHeight="1" thickBot="1" x14ac:dyDescent="0.4">
      <c r="A48" s="40" t="s">
        <v>58</v>
      </c>
      <c r="B48" s="43" t="s">
        <v>9</v>
      </c>
      <c r="C48" s="77" t="s">
        <v>36</v>
      </c>
      <c r="D48" s="63" t="s">
        <v>36</v>
      </c>
      <c r="E48" s="63" t="s">
        <v>83</v>
      </c>
      <c r="F48" s="64" t="s">
        <v>83</v>
      </c>
      <c r="G48" s="77" t="s">
        <v>93</v>
      </c>
      <c r="H48" s="63" t="s">
        <v>93</v>
      </c>
      <c r="I48" s="63"/>
      <c r="J48" s="64"/>
      <c r="K48" s="77" t="s">
        <v>92</v>
      </c>
      <c r="L48" s="63" t="s">
        <v>92</v>
      </c>
      <c r="M48" s="63"/>
      <c r="N48" s="64"/>
      <c r="O48" s="77" t="s">
        <v>93</v>
      </c>
      <c r="P48" s="63" t="s">
        <v>93</v>
      </c>
      <c r="Q48" s="63" t="s">
        <v>92</v>
      </c>
      <c r="R48" s="64" t="s">
        <v>92</v>
      </c>
      <c r="S48" s="77" t="s">
        <v>36</v>
      </c>
      <c r="T48" s="63" t="s">
        <v>36</v>
      </c>
      <c r="U48" s="63" t="s">
        <v>43</v>
      </c>
      <c r="V48" s="64" t="s">
        <v>83</v>
      </c>
      <c r="W48" s="77" t="s">
        <v>83</v>
      </c>
      <c r="X48" s="63" t="s">
        <v>83</v>
      </c>
      <c r="Y48" s="63"/>
      <c r="Z48" s="64"/>
      <c r="AA48" s="37"/>
      <c r="AB48" s="84"/>
      <c r="AC48" s="38"/>
      <c r="AD48" s="38"/>
      <c r="AE48" s="38"/>
      <c r="AF48" s="38"/>
      <c r="AG48" s="38"/>
    </row>
    <row r="49" spans="1:33" s="36" customFormat="1" ht="17.25" customHeight="1" x14ac:dyDescent="0.35">
      <c r="A49" s="35" t="s">
        <v>59</v>
      </c>
      <c r="B49" s="41" t="s">
        <v>7</v>
      </c>
      <c r="C49" s="75" t="s">
        <v>80</v>
      </c>
      <c r="D49" s="59" t="s">
        <v>80</v>
      </c>
      <c r="E49" s="59" t="s">
        <v>17</v>
      </c>
      <c r="F49" s="60"/>
      <c r="G49" s="75"/>
      <c r="H49" s="59"/>
      <c r="I49" s="59" t="s">
        <v>17</v>
      </c>
      <c r="J49" s="60" t="s">
        <v>17</v>
      </c>
      <c r="K49" s="75" t="s">
        <v>80</v>
      </c>
      <c r="L49" s="59" t="s">
        <v>80</v>
      </c>
      <c r="M49" s="59"/>
      <c r="N49" s="60"/>
      <c r="O49" s="75" t="s">
        <v>85</v>
      </c>
      <c r="P49" s="59" t="s">
        <v>85</v>
      </c>
      <c r="Q49" s="59"/>
      <c r="R49" s="60" t="s">
        <v>85</v>
      </c>
      <c r="S49" s="75"/>
      <c r="T49" s="59"/>
      <c r="U49" s="59" t="s">
        <v>80</v>
      </c>
      <c r="V49" s="60" t="s">
        <v>80</v>
      </c>
      <c r="W49" s="75" t="s">
        <v>85</v>
      </c>
      <c r="X49" s="59" t="s">
        <v>85</v>
      </c>
      <c r="Y49" s="59"/>
      <c r="Z49" s="60"/>
      <c r="AA49" s="37"/>
      <c r="AB49" s="84">
        <f>COUNTA(C49:X49)*2.5</f>
        <v>35</v>
      </c>
      <c r="AC49" s="38"/>
      <c r="AD49" s="38"/>
      <c r="AE49" s="38"/>
      <c r="AF49" s="38"/>
      <c r="AG49" s="38"/>
    </row>
    <row r="50" spans="1:33" s="36" customFormat="1" ht="17.25" customHeight="1" x14ac:dyDescent="0.35">
      <c r="A50" s="39" t="s">
        <v>59</v>
      </c>
      <c r="B50" s="42" t="s">
        <v>8</v>
      </c>
      <c r="C50" s="76" t="s">
        <v>74</v>
      </c>
      <c r="D50" s="61" t="s">
        <v>95</v>
      </c>
      <c r="E50" s="61" t="s">
        <v>46</v>
      </c>
      <c r="F50" s="62"/>
      <c r="G50" s="76"/>
      <c r="H50" s="61"/>
      <c r="I50" s="61" t="s">
        <v>46</v>
      </c>
      <c r="J50" s="62" t="s">
        <v>46</v>
      </c>
      <c r="K50" s="76" t="s">
        <v>74</v>
      </c>
      <c r="L50" s="61" t="s">
        <v>95</v>
      </c>
      <c r="M50" s="61"/>
      <c r="N50" s="62"/>
      <c r="O50" s="76" t="s">
        <v>46</v>
      </c>
      <c r="P50" s="61" t="s">
        <v>46</v>
      </c>
      <c r="Q50" s="61"/>
      <c r="R50" s="62" t="s">
        <v>119</v>
      </c>
      <c r="S50" s="76"/>
      <c r="T50" s="61"/>
      <c r="U50" s="61" t="s">
        <v>74</v>
      </c>
      <c r="V50" s="62" t="s">
        <v>95</v>
      </c>
      <c r="W50" s="76" t="s">
        <v>46</v>
      </c>
      <c r="X50" s="61" t="s">
        <v>46</v>
      </c>
      <c r="Y50" s="61"/>
      <c r="Z50" s="62"/>
      <c r="AA50" s="37"/>
      <c r="AB50" s="84"/>
      <c r="AC50" s="38"/>
      <c r="AD50" s="38"/>
      <c r="AE50" s="38"/>
      <c r="AF50" s="38"/>
      <c r="AG50" s="38"/>
    </row>
    <row r="51" spans="1:33" s="36" customFormat="1" ht="18" customHeight="1" thickBot="1" x14ac:dyDescent="0.4">
      <c r="A51" s="40" t="s">
        <v>59</v>
      </c>
      <c r="B51" s="43" t="s">
        <v>9</v>
      </c>
      <c r="C51" s="77" t="s">
        <v>83</v>
      </c>
      <c r="D51" s="63" t="s">
        <v>83</v>
      </c>
      <c r="E51" s="63" t="s">
        <v>36</v>
      </c>
      <c r="F51" s="64"/>
      <c r="G51" s="77"/>
      <c r="H51" s="63"/>
      <c r="I51" s="63" t="s">
        <v>83</v>
      </c>
      <c r="J51" s="64" t="s">
        <v>83</v>
      </c>
      <c r="K51" s="77" t="s">
        <v>13</v>
      </c>
      <c r="L51" s="63" t="s">
        <v>13</v>
      </c>
      <c r="M51" s="63"/>
      <c r="N51" s="64"/>
      <c r="O51" s="77" t="s">
        <v>83</v>
      </c>
      <c r="P51" s="63" t="s">
        <v>83</v>
      </c>
      <c r="Q51" s="63"/>
      <c r="R51" s="64" t="s">
        <v>37</v>
      </c>
      <c r="S51" s="77"/>
      <c r="T51" s="63"/>
      <c r="U51" s="63" t="s">
        <v>13</v>
      </c>
      <c r="V51" s="64" t="s">
        <v>13</v>
      </c>
      <c r="W51" s="77" t="s">
        <v>83</v>
      </c>
      <c r="X51" s="63" t="s">
        <v>83</v>
      </c>
      <c r="Y51" s="63"/>
      <c r="Z51" s="64"/>
      <c r="AA51" s="37"/>
      <c r="AB51" s="84"/>
      <c r="AC51" s="38"/>
      <c r="AD51" s="38"/>
      <c r="AE51" s="38"/>
      <c r="AF51" s="38"/>
      <c r="AG51" s="38"/>
    </row>
    <row r="52" spans="1:33" ht="17.25" customHeight="1" x14ac:dyDescent="0.35">
      <c r="A52" s="26" t="s">
        <v>18</v>
      </c>
      <c r="B52" s="27" t="s">
        <v>7</v>
      </c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65"/>
      <c r="T52" s="65"/>
      <c r="U52" s="65"/>
      <c r="V52" s="65"/>
      <c r="W52" s="53"/>
      <c r="X52" s="53"/>
      <c r="Y52" s="53"/>
      <c r="Z52" s="53"/>
      <c r="AA52" s="54"/>
      <c r="AB52" s="80">
        <f>COUNTA(C52:Z52)*2.5</f>
        <v>0</v>
      </c>
    </row>
    <row r="53" spans="1:33" ht="17.25" customHeight="1" x14ac:dyDescent="0.35">
      <c r="A53" s="28" t="s">
        <v>18</v>
      </c>
      <c r="B53" s="29" t="s">
        <v>8</v>
      </c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5"/>
      <c r="AB53" s="80"/>
    </row>
    <row r="54" spans="1:33" ht="18" customHeight="1" thickBot="1" x14ac:dyDescent="0.4">
      <c r="A54" s="28" t="s">
        <v>18</v>
      </c>
      <c r="B54" s="29" t="s">
        <v>9</v>
      </c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6"/>
      <c r="AB54" s="80"/>
    </row>
    <row r="55" spans="1:33" ht="17.399999999999999" x14ac:dyDescent="0.35">
      <c r="A55" s="17" t="s">
        <v>61</v>
      </c>
      <c r="B55" s="45" t="s">
        <v>7</v>
      </c>
      <c r="C55" s="67" t="s">
        <v>77</v>
      </c>
      <c r="D55" s="67" t="s">
        <v>77</v>
      </c>
      <c r="E55" s="67" t="s">
        <v>98</v>
      </c>
      <c r="F55" s="67"/>
      <c r="G55" s="67" t="s">
        <v>60</v>
      </c>
      <c r="H55" s="67" t="s">
        <v>60</v>
      </c>
      <c r="I55" s="67" t="s">
        <v>77</v>
      </c>
      <c r="J55" s="67" t="s">
        <v>77</v>
      </c>
      <c r="K55" s="67"/>
      <c r="L55" s="67"/>
      <c r="M55" s="67" t="s">
        <v>86</v>
      </c>
      <c r="N55" s="67" t="s">
        <v>86</v>
      </c>
      <c r="O55" s="67"/>
      <c r="P55" s="67"/>
      <c r="Q55" s="67" t="s">
        <v>60</v>
      </c>
      <c r="R55" s="67" t="s">
        <v>60</v>
      </c>
      <c r="S55" s="67"/>
      <c r="T55" s="67"/>
      <c r="U55" s="67" t="s">
        <v>16</v>
      </c>
      <c r="V55" s="67" t="s">
        <v>16</v>
      </c>
      <c r="W55" s="67"/>
      <c r="X55" s="67"/>
      <c r="Y55" s="67"/>
      <c r="Z55" s="59"/>
      <c r="AB55" s="80">
        <f>COUNTA(C55:Z55)*2.5</f>
        <v>32.5</v>
      </c>
    </row>
    <row r="56" spans="1:33" ht="17.399999999999999" x14ac:dyDescent="0.35">
      <c r="A56" s="18" t="s">
        <v>61</v>
      </c>
      <c r="B56" s="46" t="s">
        <v>8</v>
      </c>
      <c r="C56" s="16" t="s">
        <v>84</v>
      </c>
      <c r="D56" s="16" t="s">
        <v>84</v>
      </c>
      <c r="E56" s="16" t="s">
        <v>112</v>
      </c>
      <c r="F56" s="16"/>
      <c r="G56" s="16" t="s">
        <v>117</v>
      </c>
      <c r="H56" s="16" t="s">
        <v>117</v>
      </c>
      <c r="I56" s="16" t="s">
        <v>84</v>
      </c>
      <c r="J56" s="16" t="s">
        <v>84</v>
      </c>
      <c r="K56" s="16"/>
      <c r="L56" s="16"/>
      <c r="M56" s="16" t="s">
        <v>79</v>
      </c>
      <c r="N56" s="16" t="s">
        <v>79</v>
      </c>
      <c r="O56" s="16"/>
      <c r="P56" s="16"/>
      <c r="Q56" s="16" t="s">
        <v>72</v>
      </c>
      <c r="R56" s="16" t="s">
        <v>72</v>
      </c>
      <c r="S56" s="16"/>
      <c r="T56" s="16"/>
      <c r="U56" s="16" t="s">
        <v>96</v>
      </c>
      <c r="V56" s="16" t="s">
        <v>96</v>
      </c>
      <c r="W56" s="16"/>
      <c r="X56" s="16"/>
      <c r="Y56" s="16"/>
      <c r="Z56" s="61"/>
      <c r="AB56" s="80"/>
    </row>
    <row r="57" spans="1:33" thickBot="1" x14ac:dyDescent="0.4">
      <c r="A57" s="19" t="s">
        <v>61</v>
      </c>
      <c r="B57" s="47" t="s">
        <v>9</v>
      </c>
      <c r="C57" s="70" t="s">
        <v>91</v>
      </c>
      <c r="D57" s="70" t="s">
        <v>91</v>
      </c>
      <c r="E57" s="70" t="s">
        <v>10</v>
      </c>
      <c r="F57" s="70"/>
      <c r="G57" s="70" t="s">
        <v>33</v>
      </c>
      <c r="H57" s="70" t="s">
        <v>33</v>
      </c>
      <c r="I57" s="70" t="s">
        <v>91</v>
      </c>
      <c r="J57" s="70" t="s">
        <v>91</v>
      </c>
      <c r="K57" s="70"/>
      <c r="L57" s="70"/>
      <c r="M57" s="70" t="s">
        <v>91</v>
      </c>
      <c r="N57" s="70" t="s">
        <v>91</v>
      </c>
      <c r="O57" s="70"/>
      <c r="P57" s="70"/>
      <c r="Q57" s="70" t="s">
        <v>43</v>
      </c>
      <c r="R57" s="70" t="s">
        <v>43</v>
      </c>
      <c r="S57" s="70"/>
      <c r="T57" s="70"/>
      <c r="U57" s="70" t="s">
        <v>43</v>
      </c>
      <c r="V57" s="70" t="s">
        <v>43</v>
      </c>
      <c r="W57" s="70"/>
      <c r="X57" s="70"/>
      <c r="Y57" s="70"/>
      <c r="Z57" s="63"/>
      <c r="AB57" s="80"/>
    </row>
    <row r="58" spans="1:33" ht="17.399999999999999" x14ac:dyDescent="0.35">
      <c r="A58" s="17" t="s">
        <v>62</v>
      </c>
      <c r="B58" s="45" t="s">
        <v>7</v>
      </c>
      <c r="C58" s="67" t="s">
        <v>60</v>
      </c>
      <c r="D58" s="67" t="s">
        <v>60</v>
      </c>
      <c r="E58" s="67" t="s">
        <v>11</v>
      </c>
      <c r="F58" s="67" t="s">
        <v>11</v>
      </c>
      <c r="G58" s="67"/>
      <c r="H58" s="67"/>
      <c r="I58" s="67" t="s">
        <v>11</v>
      </c>
      <c r="J58" s="67" t="s">
        <v>11</v>
      </c>
      <c r="K58" s="67" t="s">
        <v>60</v>
      </c>
      <c r="L58" s="67" t="s">
        <v>60</v>
      </c>
      <c r="M58" s="67" t="s">
        <v>77</v>
      </c>
      <c r="N58" s="67" t="s">
        <v>77</v>
      </c>
      <c r="O58" s="67" t="s">
        <v>11</v>
      </c>
      <c r="P58" s="67" t="s">
        <v>11</v>
      </c>
      <c r="Q58" s="67" t="s">
        <v>60</v>
      </c>
      <c r="R58" s="67" t="s">
        <v>60</v>
      </c>
      <c r="S58" s="67" t="s">
        <v>60</v>
      </c>
      <c r="T58" s="67" t="s">
        <v>60</v>
      </c>
      <c r="U58" s="67" t="s">
        <v>77</v>
      </c>
      <c r="V58" s="67" t="s">
        <v>77</v>
      </c>
      <c r="W58" s="67"/>
      <c r="X58" s="67"/>
      <c r="Y58" s="67"/>
      <c r="Z58" s="59"/>
      <c r="AB58" s="80">
        <f>COUNTA(C58:Z58)*2.5</f>
        <v>45</v>
      </c>
    </row>
    <row r="59" spans="1:33" ht="17.399999999999999" x14ac:dyDescent="0.35">
      <c r="A59" s="18" t="s">
        <v>62</v>
      </c>
      <c r="B59" s="46" t="s">
        <v>8</v>
      </c>
      <c r="C59" s="16" t="s">
        <v>117</v>
      </c>
      <c r="D59" s="16" t="s">
        <v>117</v>
      </c>
      <c r="E59" s="16" t="s">
        <v>103</v>
      </c>
      <c r="F59" s="16" t="s">
        <v>103</v>
      </c>
      <c r="G59" s="16"/>
      <c r="H59" s="16"/>
      <c r="I59" s="16" t="s">
        <v>96</v>
      </c>
      <c r="J59" s="16" t="s">
        <v>96</v>
      </c>
      <c r="K59" s="16" t="s">
        <v>117</v>
      </c>
      <c r="L59" s="16" t="s">
        <v>117</v>
      </c>
      <c r="M59" s="16" t="s">
        <v>84</v>
      </c>
      <c r="N59" s="16" t="s">
        <v>84</v>
      </c>
      <c r="O59" s="16" t="s">
        <v>113</v>
      </c>
      <c r="P59" s="16" t="s">
        <v>114</v>
      </c>
      <c r="Q59" s="16" t="s">
        <v>117</v>
      </c>
      <c r="R59" s="16" t="s">
        <v>117</v>
      </c>
      <c r="S59" s="16" t="s">
        <v>117</v>
      </c>
      <c r="T59" s="16" t="s">
        <v>117</v>
      </c>
      <c r="U59" s="16" t="s">
        <v>84</v>
      </c>
      <c r="V59" s="16" t="s">
        <v>84</v>
      </c>
      <c r="W59" s="16"/>
      <c r="X59" s="16"/>
      <c r="Y59" s="16"/>
      <c r="Z59" s="61"/>
      <c r="AB59" s="80"/>
    </row>
    <row r="60" spans="1:33" thickBot="1" x14ac:dyDescent="0.4">
      <c r="A60" s="19" t="s">
        <v>62</v>
      </c>
      <c r="B60" s="47" t="s">
        <v>9</v>
      </c>
      <c r="C60" s="70" t="s">
        <v>33</v>
      </c>
      <c r="D60" s="70" t="s">
        <v>33</v>
      </c>
      <c r="E60" s="70" t="s">
        <v>104</v>
      </c>
      <c r="F60" s="70" t="s">
        <v>104</v>
      </c>
      <c r="G60" s="70"/>
      <c r="H60" s="70"/>
      <c r="I60" s="70" t="s">
        <v>91</v>
      </c>
      <c r="J60" s="70" t="s">
        <v>91</v>
      </c>
      <c r="K60" s="70" t="s">
        <v>33</v>
      </c>
      <c r="L60" s="70" t="s">
        <v>33</v>
      </c>
      <c r="M60" s="70" t="s">
        <v>91</v>
      </c>
      <c r="N60" s="70" t="s">
        <v>91</v>
      </c>
      <c r="O60" s="70" t="s">
        <v>25</v>
      </c>
      <c r="P60" s="70" t="s">
        <v>25</v>
      </c>
      <c r="Q60" s="70" t="s">
        <v>43</v>
      </c>
      <c r="R60" s="70" t="s">
        <v>43</v>
      </c>
      <c r="S60" s="70" t="s">
        <v>33</v>
      </c>
      <c r="T60" s="70" t="s">
        <v>33</v>
      </c>
      <c r="U60" s="70" t="s">
        <v>91</v>
      </c>
      <c r="V60" s="70" t="s">
        <v>91</v>
      </c>
      <c r="W60" s="70"/>
      <c r="X60" s="70"/>
      <c r="Y60" s="70"/>
      <c r="Z60" s="63"/>
      <c r="AB60" s="80"/>
    </row>
    <row r="61" spans="1:33" ht="17.399999999999999" x14ac:dyDescent="0.35">
      <c r="A61" s="17" t="s">
        <v>63</v>
      </c>
      <c r="B61" s="45" t="s">
        <v>7</v>
      </c>
      <c r="C61" s="67" t="s">
        <v>41</v>
      </c>
      <c r="D61" s="67" t="s">
        <v>41</v>
      </c>
      <c r="E61" s="67"/>
      <c r="F61" s="67" t="s">
        <v>98</v>
      </c>
      <c r="G61" s="67" t="s">
        <v>76</v>
      </c>
      <c r="H61" s="67" t="s">
        <v>76</v>
      </c>
      <c r="I61" s="67" t="s">
        <v>11</v>
      </c>
      <c r="J61" s="67" t="s">
        <v>11</v>
      </c>
      <c r="K61" s="67" t="s">
        <v>41</v>
      </c>
      <c r="L61" s="67" t="s">
        <v>41</v>
      </c>
      <c r="M61" s="67" t="s">
        <v>78</v>
      </c>
      <c r="N61" s="67" t="s">
        <v>78</v>
      </c>
      <c r="O61" s="67" t="s">
        <v>77</v>
      </c>
      <c r="P61" s="67" t="s">
        <v>77</v>
      </c>
      <c r="Q61" s="67"/>
      <c r="R61" s="67"/>
      <c r="S61" s="67" t="s">
        <v>41</v>
      </c>
      <c r="T61" s="67" t="s">
        <v>41</v>
      </c>
      <c r="U61" s="67" t="s">
        <v>11</v>
      </c>
      <c r="V61" s="67" t="s">
        <v>11</v>
      </c>
      <c r="W61" s="67"/>
      <c r="X61" s="67"/>
      <c r="Y61" s="67"/>
      <c r="Z61" s="59"/>
      <c r="AB61" s="80">
        <f t="shared" ref="AB61:AB67" si="5">COUNTA(C61:Z61)*2.5</f>
        <v>42.5</v>
      </c>
    </row>
    <row r="62" spans="1:33" ht="17.399999999999999" x14ac:dyDescent="0.35">
      <c r="A62" s="18" t="s">
        <v>63</v>
      </c>
      <c r="B62" s="46" t="s">
        <v>8</v>
      </c>
      <c r="C62" s="16" t="s">
        <v>117</v>
      </c>
      <c r="D62" s="16" t="s">
        <v>117</v>
      </c>
      <c r="E62" s="16"/>
      <c r="F62" s="16" t="s">
        <v>112</v>
      </c>
      <c r="G62" s="16" t="s">
        <v>71</v>
      </c>
      <c r="H62" s="16" t="s">
        <v>71</v>
      </c>
      <c r="I62" s="16" t="s">
        <v>96</v>
      </c>
      <c r="J62" s="16" t="s">
        <v>96</v>
      </c>
      <c r="K62" s="16" t="s">
        <v>117</v>
      </c>
      <c r="L62" s="16" t="s">
        <v>117</v>
      </c>
      <c r="M62" s="16" t="s">
        <v>97</v>
      </c>
      <c r="N62" s="16" t="s">
        <v>97</v>
      </c>
      <c r="O62" s="16" t="s">
        <v>84</v>
      </c>
      <c r="P62" s="16" t="s">
        <v>84</v>
      </c>
      <c r="Q62" s="16"/>
      <c r="R62" s="16"/>
      <c r="S62" s="16" t="s">
        <v>117</v>
      </c>
      <c r="T62" s="16" t="s">
        <v>117</v>
      </c>
      <c r="U62" s="16" t="s">
        <v>96</v>
      </c>
      <c r="V62" s="16" t="s">
        <v>96</v>
      </c>
      <c r="W62" s="16"/>
      <c r="X62" s="16"/>
      <c r="Y62" s="16"/>
      <c r="Z62" s="61"/>
      <c r="AB62" s="80"/>
    </row>
    <row r="63" spans="1:33" thickBot="1" x14ac:dyDescent="0.4">
      <c r="A63" s="19" t="s">
        <v>63</v>
      </c>
      <c r="B63" s="47" t="s">
        <v>9</v>
      </c>
      <c r="C63" s="70" t="s">
        <v>38</v>
      </c>
      <c r="D63" s="70" t="s">
        <v>38</v>
      </c>
      <c r="E63" s="70"/>
      <c r="F63" s="70" t="s">
        <v>10</v>
      </c>
      <c r="G63" s="70" t="s">
        <v>35</v>
      </c>
      <c r="H63" s="70" t="s">
        <v>35</v>
      </c>
      <c r="I63" s="70" t="s">
        <v>91</v>
      </c>
      <c r="J63" s="70" t="s">
        <v>91</v>
      </c>
      <c r="K63" s="70" t="s">
        <v>38</v>
      </c>
      <c r="L63" s="70" t="s">
        <v>38</v>
      </c>
      <c r="M63" s="70" t="s">
        <v>43</v>
      </c>
      <c r="N63" s="70" t="s">
        <v>43</v>
      </c>
      <c r="O63" s="70" t="s">
        <v>91</v>
      </c>
      <c r="P63" s="70" t="s">
        <v>91</v>
      </c>
      <c r="Q63" s="70"/>
      <c r="R63" s="70"/>
      <c r="S63" s="70" t="s">
        <v>43</v>
      </c>
      <c r="T63" s="70" t="s">
        <v>43</v>
      </c>
      <c r="U63" s="70" t="s">
        <v>25</v>
      </c>
      <c r="V63" s="70" t="s">
        <v>25</v>
      </c>
      <c r="W63" s="70"/>
      <c r="X63" s="70"/>
      <c r="Y63" s="70"/>
      <c r="Z63" s="63"/>
      <c r="AB63" s="80"/>
    </row>
    <row r="64" spans="1:33" ht="17.399999999999999" x14ac:dyDescent="0.35">
      <c r="A64" s="17" t="s">
        <v>64</v>
      </c>
      <c r="B64" s="45" t="s">
        <v>7</v>
      </c>
      <c r="C64" s="67" t="s">
        <v>77</v>
      </c>
      <c r="D64" s="67" t="s">
        <v>77</v>
      </c>
      <c r="E64" s="67" t="s">
        <v>16</v>
      </c>
      <c r="F64" s="67" t="s">
        <v>16</v>
      </c>
      <c r="G64" s="67" t="s">
        <v>41</v>
      </c>
      <c r="H64" s="67" t="s">
        <v>41</v>
      </c>
      <c r="I64" s="67" t="s">
        <v>77</v>
      </c>
      <c r="J64" s="67" t="s">
        <v>77</v>
      </c>
      <c r="K64" s="67"/>
      <c r="L64" s="67"/>
      <c r="M64" s="67"/>
      <c r="N64" s="67"/>
      <c r="O64" s="67" t="s">
        <v>41</v>
      </c>
      <c r="P64" s="67" t="s">
        <v>41</v>
      </c>
      <c r="Q64" s="67"/>
      <c r="R64" s="67"/>
      <c r="S64" s="67" t="s">
        <v>41</v>
      </c>
      <c r="T64" s="67" t="s">
        <v>41</v>
      </c>
      <c r="U64" s="67" t="s">
        <v>16</v>
      </c>
      <c r="V64" s="67" t="s">
        <v>16</v>
      </c>
      <c r="W64" s="67"/>
      <c r="X64" s="67"/>
      <c r="Y64" s="67"/>
      <c r="Z64" s="59"/>
      <c r="AB64" s="80">
        <f>COUNTA(E64:Z64)*2.5</f>
        <v>30</v>
      </c>
    </row>
    <row r="65" spans="1:28" ht="17.399999999999999" x14ac:dyDescent="0.35">
      <c r="A65" s="18" t="s">
        <v>64</v>
      </c>
      <c r="B65" s="46" t="s">
        <v>8</v>
      </c>
      <c r="C65" s="16" t="s">
        <v>84</v>
      </c>
      <c r="D65" s="16" t="s">
        <v>84</v>
      </c>
      <c r="E65" s="16" t="s">
        <v>111</v>
      </c>
      <c r="F65" s="16" t="s">
        <v>111</v>
      </c>
      <c r="G65" s="16" t="s">
        <v>117</v>
      </c>
      <c r="H65" s="16" t="s">
        <v>117</v>
      </c>
      <c r="I65" s="16" t="s">
        <v>84</v>
      </c>
      <c r="J65" s="16" t="s">
        <v>84</v>
      </c>
      <c r="K65" s="16"/>
      <c r="L65" s="16"/>
      <c r="M65" s="16"/>
      <c r="N65" s="16"/>
      <c r="O65" s="16" t="s">
        <v>117</v>
      </c>
      <c r="P65" s="16" t="s">
        <v>117</v>
      </c>
      <c r="Q65" s="16"/>
      <c r="R65" s="16"/>
      <c r="S65" s="16" t="s">
        <v>117</v>
      </c>
      <c r="T65" s="16" t="s">
        <v>117</v>
      </c>
      <c r="U65" s="16" t="s">
        <v>96</v>
      </c>
      <c r="V65" s="16" t="s">
        <v>96</v>
      </c>
      <c r="W65" s="16"/>
      <c r="X65" s="16"/>
      <c r="Y65" s="16"/>
      <c r="Z65" s="61"/>
      <c r="AB65" s="80"/>
    </row>
    <row r="66" spans="1:28" thickBot="1" x14ac:dyDescent="0.4">
      <c r="A66" s="19" t="s">
        <v>64</v>
      </c>
      <c r="B66" s="47" t="s">
        <v>9</v>
      </c>
      <c r="C66" s="70" t="s">
        <v>91</v>
      </c>
      <c r="D66" s="70" t="s">
        <v>91</v>
      </c>
      <c r="E66" s="70" t="s">
        <v>24</v>
      </c>
      <c r="F66" s="70" t="s">
        <v>24</v>
      </c>
      <c r="G66" s="70" t="s">
        <v>38</v>
      </c>
      <c r="H66" s="70" t="s">
        <v>38</v>
      </c>
      <c r="I66" s="70" t="s">
        <v>91</v>
      </c>
      <c r="J66" s="70" t="s">
        <v>91</v>
      </c>
      <c r="K66" s="70"/>
      <c r="L66" s="70"/>
      <c r="M66" s="70"/>
      <c r="N66" s="70"/>
      <c r="O66" s="70" t="s">
        <v>38</v>
      </c>
      <c r="P66" s="70" t="s">
        <v>38</v>
      </c>
      <c r="Q66" s="70"/>
      <c r="R66" s="70"/>
      <c r="S66" s="70" t="s">
        <v>43</v>
      </c>
      <c r="T66" s="70" t="s">
        <v>43</v>
      </c>
      <c r="U66" s="70" t="s">
        <v>43</v>
      </c>
      <c r="V66" s="70" t="s">
        <v>43</v>
      </c>
      <c r="W66" s="70"/>
      <c r="X66" s="70"/>
      <c r="Y66" s="70"/>
      <c r="Z66" s="63"/>
      <c r="AB66" s="80"/>
    </row>
    <row r="67" spans="1:28" ht="17.399999999999999" x14ac:dyDescent="0.35">
      <c r="A67" s="26" t="s">
        <v>18</v>
      </c>
      <c r="B67" s="27" t="s">
        <v>7</v>
      </c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B67" s="80">
        <f t="shared" si="5"/>
        <v>0</v>
      </c>
    </row>
    <row r="68" spans="1:28" ht="17.399999999999999" x14ac:dyDescent="0.35">
      <c r="A68" s="28" t="s">
        <v>18</v>
      </c>
      <c r="B68" s="29" t="s">
        <v>8</v>
      </c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B68" s="80"/>
    </row>
    <row r="69" spans="1:28" thickBot="1" x14ac:dyDescent="0.4">
      <c r="A69" s="28" t="s">
        <v>18</v>
      </c>
      <c r="B69" s="29" t="s">
        <v>9</v>
      </c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66"/>
      <c r="P69" s="66"/>
      <c r="Q69" s="66"/>
      <c r="R69" s="66"/>
      <c r="S69" s="53"/>
      <c r="T69" s="53"/>
      <c r="U69" s="53"/>
      <c r="V69" s="53"/>
      <c r="W69" s="53"/>
      <c r="X69" s="53"/>
      <c r="Y69" s="53"/>
      <c r="Z69" s="53"/>
      <c r="AB69" s="80"/>
    </row>
    <row r="70" spans="1:28" ht="17.399999999999999" x14ac:dyDescent="0.35">
      <c r="A70" s="17" t="s">
        <v>65</v>
      </c>
      <c r="B70" s="45" t="s">
        <v>7</v>
      </c>
      <c r="C70" s="67" t="s">
        <v>11</v>
      </c>
      <c r="D70" s="67" t="s">
        <v>11</v>
      </c>
      <c r="E70" s="67" t="s">
        <v>81</v>
      </c>
      <c r="F70" s="67" t="s">
        <v>81</v>
      </c>
      <c r="G70" s="67" t="s">
        <v>81</v>
      </c>
      <c r="H70" s="67" t="s">
        <v>81</v>
      </c>
      <c r="I70" s="67"/>
      <c r="J70" s="67" t="s">
        <v>85</v>
      </c>
      <c r="K70" s="67" t="s">
        <v>81</v>
      </c>
      <c r="L70" s="67"/>
      <c r="M70" s="67" t="s">
        <v>86</v>
      </c>
      <c r="N70" s="67" t="s">
        <v>86</v>
      </c>
      <c r="O70" s="68" t="s">
        <v>12</v>
      </c>
      <c r="P70" s="67" t="s">
        <v>12</v>
      </c>
      <c r="Q70" s="67" t="s">
        <v>44</v>
      </c>
      <c r="R70" s="67" t="s">
        <v>44</v>
      </c>
      <c r="S70" s="67"/>
      <c r="T70" s="67"/>
      <c r="U70" s="67" t="s">
        <v>81</v>
      </c>
      <c r="V70" s="67" t="s">
        <v>81</v>
      </c>
      <c r="W70" s="67" t="s">
        <v>44</v>
      </c>
      <c r="X70" s="67" t="s">
        <v>44</v>
      </c>
      <c r="Y70" s="67"/>
      <c r="Z70" s="67"/>
      <c r="AB70" s="80">
        <f>COUNTA(C70:Z70)*2.5</f>
        <v>45</v>
      </c>
    </row>
    <row r="71" spans="1:28" ht="17.399999999999999" x14ac:dyDescent="0.35">
      <c r="A71" s="18" t="s">
        <v>65</v>
      </c>
      <c r="B71" s="46" t="s">
        <v>8</v>
      </c>
      <c r="C71" s="16" t="s">
        <v>103</v>
      </c>
      <c r="D71" s="16" t="s">
        <v>103</v>
      </c>
      <c r="E71" s="16" t="s">
        <v>71</v>
      </c>
      <c r="F71" s="16" t="s">
        <v>71</v>
      </c>
      <c r="G71" s="16" t="s">
        <v>71</v>
      </c>
      <c r="H71" s="16" t="s">
        <v>71</v>
      </c>
      <c r="I71" s="16"/>
      <c r="J71" s="16" t="s">
        <v>46</v>
      </c>
      <c r="K71" s="16" t="s">
        <v>71</v>
      </c>
      <c r="L71" s="16"/>
      <c r="M71" s="16" t="s">
        <v>79</v>
      </c>
      <c r="N71" s="16" t="s">
        <v>79</v>
      </c>
      <c r="O71" s="69" t="s">
        <v>99</v>
      </c>
      <c r="P71" s="16" t="s">
        <v>99</v>
      </c>
      <c r="Q71" s="16" t="s">
        <v>73</v>
      </c>
      <c r="R71" s="16" t="s">
        <v>73</v>
      </c>
      <c r="S71" s="16"/>
      <c r="T71" s="16"/>
      <c r="U71" s="16" t="s">
        <v>115</v>
      </c>
      <c r="V71" s="16" t="s">
        <v>115</v>
      </c>
      <c r="W71" s="16" t="s">
        <v>73</v>
      </c>
      <c r="X71" s="16" t="s">
        <v>73</v>
      </c>
      <c r="Y71" s="16"/>
      <c r="Z71" s="16"/>
      <c r="AB71" s="80"/>
    </row>
    <row r="72" spans="1:28" thickBot="1" x14ac:dyDescent="0.4">
      <c r="A72" s="19" t="s">
        <v>65</v>
      </c>
      <c r="B72" s="47" t="s">
        <v>9</v>
      </c>
      <c r="C72" s="70" t="s">
        <v>91</v>
      </c>
      <c r="D72" s="70" t="s">
        <v>91</v>
      </c>
      <c r="E72" s="70" t="s">
        <v>91</v>
      </c>
      <c r="F72" s="70" t="s">
        <v>91</v>
      </c>
      <c r="G72" s="70" t="s">
        <v>34</v>
      </c>
      <c r="H72" s="70" t="s">
        <v>34</v>
      </c>
      <c r="I72" s="70"/>
      <c r="J72" s="70" t="s">
        <v>118</v>
      </c>
      <c r="K72" s="70" t="s">
        <v>32</v>
      </c>
      <c r="L72" s="70"/>
      <c r="M72" s="70" t="s">
        <v>91</v>
      </c>
      <c r="N72" s="70" t="s">
        <v>91</v>
      </c>
      <c r="O72" s="71" t="s">
        <v>10</v>
      </c>
      <c r="P72" s="70" t="s">
        <v>10</v>
      </c>
      <c r="Q72" s="70" t="s">
        <v>83</v>
      </c>
      <c r="R72" s="70" t="s">
        <v>83</v>
      </c>
      <c r="S72" s="70"/>
      <c r="T72" s="70"/>
      <c r="U72" s="70" t="s">
        <v>34</v>
      </c>
      <c r="V72" s="70" t="s">
        <v>34</v>
      </c>
      <c r="W72" s="70" t="s">
        <v>83</v>
      </c>
      <c r="X72" s="70" t="s">
        <v>83</v>
      </c>
      <c r="Y72" s="70"/>
      <c r="Z72" s="70"/>
      <c r="AB72" s="80"/>
    </row>
    <row r="73" spans="1:28" ht="17.399999999999999" x14ac:dyDescent="0.35">
      <c r="A73" s="17" t="s">
        <v>66</v>
      </c>
      <c r="B73" s="45" t="s">
        <v>7</v>
      </c>
      <c r="C73" s="67"/>
      <c r="D73" s="67"/>
      <c r="E73" s="67" t="s">
        <v>81</v>
      </c>
      <c r="F73" s="67" t="s">
        <v>81</v>
      </c>
      <c r="G73" s="67" t="s">
        <v>11</v>
      </c>
      <c r="H73" s="67" t="s">
        <v>11</v>
      </c>
      <c r="I73" s="67"/>
      <c r="J73" s="67" t="s">
        <v>85</v>
      </c>
      <c r="K73" s="67"/>
      <c r="L73" s="67" t="s">
        <v>81</v>
      </c>
      <c r="M73" s="67"/>
      <c r="N73" s="67"/>
      <c r="O73" s="67" t="s">
        <v>81</v>
      </c>
      <c r="P73" s="67" t="s">
        <v>81</v>
      </c>
      <c r="Q73" s="67" t="s">
        <v>44</v>
      </c>
      <c r="R73" s="67" t="s">
        <v>44</v>
      </c>
      <c r="S73" s="67" t="s">
        <v>81</v>
      </c>
      <c r="T73" s="67" t="s">
        <v>81</v>
      </c>
      <c r="U73" s="67" t="s">
        <v>101</v>
      </c>
      <c r="V73" s="67" t="s">
        <v>101</v>
      </c>
      <c r="W73" s="67" t="s">
        <v>44</v>
      </c>
      <c r="X73" s="67" t="s">
        <v>44</v>
      </c>
      <c r="Y73" s="67"/>
      <c r="Z73" s="67"/>
      <c r="AB73" s="80">
        <f>COUNTA(C73:Z73)*2.5</f>
        <v>40</v>
      </c>
    </row>
    <row r="74" spans="1:28" ht="17.399999999999999" x14ac:dyDescent="0.35">
      <c r="A74" s="18" t="s">
        <v>66</v>
      </c>
      <c r="B74" s="46" t="s">
        <v>8</v>
      </c>
      <c r="C74" s="16"/>
      <c r="D74" s="16"/>
      <c r="E74" s="16" t="s">
        <v>71</v>
      </c>
      <c r="F74" s="16" t="s">
        <v>71</v>
      </c>
      <c r="G74" s="16" t="s">
        <v>96</v>
      </c>
      <c r="H74" s="16" t="s">
        <v>96</v>
      </c>
      <c r="I74" s="16"/>
      <c r="J74" s="16" t="s">
        <v>46</v>
      </c>
      <c r="K74" s="16"/>
      <c r="L74" s="16" t="s">
        <v>71</v>
      </c>
      <c r="M74" s="16"/>
      <c r="N74" s="16"/>
      <c r="O74" s="16" t="s">
        <v>71</v>
      </c>
      <c r="P74" s="16" t="s">
        <v>71</v>
      </c>
      <c r="Q74" s="16" t="s">
        <v>73</v>
      </c>
      <c r="R74" s="16" t="s">
        <v>73</v>
      </c>
      <c r="S74" s="16" t="s">
        <v>115</v>
      </c>
      <c r="T74" s="16" t="s">
        <v>115</v>
      </c>
      <c r="U74" s="16" t="s">
        <v>102</v>
      </c>
      <c r="V74" s="16" t="s">
        <v>102</v>
      </c>
      <c r="W74" s="16" t="s">
        <v>73</v>
      </c>
      <c r="X74" s="16" t="s">
        <v>73</v>
      </c>
      <c r="Y74" s="16"/>
      <c r="Z74" s="16"/>
      <c r="AB74" s="80"/>
    </row>
    <row r="75" spans="1:28" thickBot="1" x14ac:dyDescent="0.4">
      <c r="A75" s="19" t="s">
        <v>67</v>
      </c>
      <c r="B75" s="47" t="s">
        <v>9</v>
      </c>
      <c r="C75" s="70"/>
      <c r="D75" s="70"/>
      <c r="E75" s="70" t="s">
        <v>91</v>
      </c>
      <c r="F75" s="70" t="s">
        <v>91</v>
      </c>
      <c r="G75" s="70" t="s">
        <v>116</v>
      </c>
      <c r="H75" s="70" t="s">
        <v>116</v>
      </c>
      <c r="I75" s="70"/>
      <c r="J75" s="70" t="s">
        <v>27</v>
      </c>
      <c r="K75" s="70"/>
      <c r="L75" s="70" t="s">
        <v>32</v>
      </c>
      <c r="M75" s="70"/>
      <c r="N75" s="70"/>
      <c r="O75" s="70" t="s">
        <v>34</v>
      </c>
      <c r="P75" s="70" t="s">
        <v>34</v>
      </c>
      <c r="Q75" s="70" t="s">
        <v>83</v>
      </c>
      <c r="R75" s="70" t="s">
        <v>83</v>
      </c>
      <c r="S75" s="70" t="s">
        <v>26</v>
      </c>
      <c r="T75" s="70" t="s">
        <v>26</v>
      </c>
      <c r="U75" s="70" t="s">
        <v>83</v>
      </c>
      <c r="V75" s="70" t="s">
        <v>83</v>
      </c>
      <c r="W75" s="70" t="s">
        <v>83</v>
      </c>
      <c r="X75" s="70" t="s">
        <v>83</v>
      </c>
      <c r="Y75" s="70"/>
      <c r="Z75" s="70"/>
      <c r="AB75" s="80"/>
    </row>
    <row r="76" spans="1:28" ht="17.399999999999999" x14ac:dyDescent="0.35">
      <c r="A76" s="17" t="s">
        <v>68</v>
      </c>
      <c r="B76" s="45" t="s">
        <v>7</v>
      </c>
      <c r="C76" s="67" t="s">
        <v>11</v>
      </c>
      <c r="D76" s="67" t="s">
        <v>11</v>
      </c>
      <c r="E76" s="67" t="s">
        <v>20</v>
      </c>
      <c r="F76" s="67" t="s">
        <v>20</v>
      </c>
      <c r="G76" s="67" t="s">
        <v>20</v>
      </c>
      <c r="H76" s="67" t="s">
        <v>20</v>
      </c>
      <c r="I76" s="67"/>
      <c r="J76" s="67" t="s">
        <v>85</v>
      </c>
      <c r="K76" s="67" t="s">
        <v>12</v>
      </c>
      <c r="L76" s="67" t="s">
        <v>20</v>
      </c>
      <c r="M76" s="67"/>
      <c r="N76" s="67"/>
      <c r="O76" s="67"/>
      <c r="P76" s="67"/>
      <c r="Q76" s="67" t="s">
        <v>44</v>
      </c>
      <c r="R76" s="67" t="s">
        <v>44</v>
      </c>
      <c r="S76" s="67" t="s">
        <v>20</v>
      </c>
      <c r="T76" s="67" t="s">
        <v>20</v>
      </c>
      <c r="U76" s="67" t="s">
        <v>101</v>
      </c>
      <c r="V76" s="67" t="s">
        <v>101</v>
      </c>
      <c r="W76" s="67" t="s">
        <v>44</v>
      </c>
      <c r="X76" s="67" t="s">
        <v>44</v>
      </c>
      <c r="Y76" s="67"/>
      <c r="Z76" s="67"/>
      <c r="AB76" s="80">
        <f>COUNTA(C76:Z76)*2.5</f>
        <v>42.5</v>
      </c>
    </row>
    <row r="77" spans="1:28" ht="17.399999999999999" x14ac:dyDescent="0.35">
      <c r="A77" s="18" t="s">
        <v>68</v>
      </c>
      <c r="B77" s="46" t="s">
        <v>8</v>
      </c>
      <c r="C77" s="16" t="s">
        <v>103</v>
      </c>
      <c r="D77" s="16" t="s">
        <v>103</v>
      </c>
      <c r="E77" s="16" t="s">
        <v>71</v>
      </c>
      <c r="F77" s="16" t="s">
        <v>71</v>
      </c>
      <c r="G77" s="16" t="s">
        <v>71</v>
      </c>
      <c r="H77" s="16" t="s">
        <v>71</v>
      </c>
      <c r="I77" s="16"/>
      <c r="J77" s="16" t="s">
        <v>46</v>
      </c>
      <c r="K77" s="16" t="s">
        <v>99</v>
      </c>
      <c r="L77" s="16" t="s">
        <v>87</v>
      </c>
      <c r="M77" s="16"/>
      <c r="N77" s="16"/>
      <c r="O77" s="16"/>
      <c r="P77" s="16"/>
      <c r="Q77" s="16" t="s">
        <v>73</v>
      </c>
      <c r="R77" s="16" t="s">
        <v>73</v>
      </c>
      <c r="S77" s="16" t="s">
        <v>87</v>
      </c>
      <c r="T77" s="16" t="s">
        <v>87</v>
      </c>
      <c r="U77" s="16" t="s">
        <v>102</v>
      </c>
      <c r="V77" s="16" t="s">
        <v>102</v>
      </c>
      <c r="W77" s="16" t="s">
        <v>73</v>
      </c>
      <c r="X77" s="16" t="s">
        <v>73</v>
      </c>
      <c r="Y77" s="16"/>
      <c r="Z77" s="16"/>
      <c r="AB77" s="80"/>
    </row>
    <row r="78" spans="1:28" thickBot="1" x14ac:dyDescent="0.4">
      <c r="A78" s="19" t="s">
        <v>68</v>
      </c>
      <c r="B78" s="47" t="s">
        <v>9</v>
      </c>
      <c r="C78" s="70" t="s">
        <v>91</v>
      </c>
      <c r="D78" s="70" t="s">
        <v>91</v>
      </c>
      <c r="E78" s="70" t="s">
        <v>83</v>
      </c>
      <c r="F78" s="70" t="s">
        <v>83</v>
      </c>
      <c r="G78" s="70" t="s">
        <v>37</v>
      </c>
      <c r="H78" s="70" t="s">
        <v>37</v>
      </c>
      <c r="I78" s="70"/>
      <c r="J78" s="70" t="s">
        <v>118</v>
      </c>
      <c r="K78" s="70" t="s">
        <v>10</v>
      </c>
      <c r="L78" s="70" t="s">
        <v>34</v>
      </c>
      <c r="M78" s="70"/>
      <c r="N78" s="70"/>
      <c r="O78" s="70"/>
      <c r="P78" s="70"/>
      <c r="Q78" s="70" t="s">
        <v>83</v>
      </c>
      <c r="R78" s="70" t="s">
        <v>83</v>
      </c>
      <c r="S78" s="70" t="s">
        <v>34</v>
      </c>
      <c r="T78" s="70" t="s">
        <v>34</v>
      </c>
      <c r="U78" s="70" t="s">
        <v>83</v>
      </c>
      <c r="V78" s="70" t="s">
        <v>83</v>
      </c>
      <c r="W78" s="70" t="s">
        <v>83</v>
      </c>
      <c r="X78" s="70" t="s">
        <v>83</v>
      </c>
      <c r="Y78" s="70"/>
      <c r="Z78" s="70"/>
      <c r="AB78" s="80"/>
    </row>
    <row r="79" spans="1:28" ht="17.399999999999999" x14ac:dyDescent="0.35">
      <c r="A79" s="17" t="s">
        <v>69</v>
      </c>
      <c r="B79" s="45" t="s">
        <v>7</v>
      </c>
      <c r="C79" s="67"/>
      <c r="D79" s="67"/>
      <c r="E79" s="67" t="s">
        <v>20</v>
      </c>
      <c r="F79" s="67" t="s">
        <v>20</v>
      </c>
      <c r="G79" s="67"/>
      <c r="H79" s="67"/>
      <c r="I79" s="67"/>
      <c r="J79" s="67" t="s">
        <v>85</v>
      </c>
      <c r="K79" s="67" t="s">
        <v>20</v>
      </c>
      <c r="L79" s="67" t="s">
        <v>12</v>
      </c>
      <c r="M79" s="68" t="s">
        <v>16</v>
      </c>
      <c r="N79" s="67" t="s">
        <v>16</v>
      </c>
      <c r="O79" s="67" t="s">
        <v>20</v>
      </c>
      <c r="P79" s="67" t="s">
        <v>20</v>
      </c>
      <c r="Q79" s="67" t="s">
        <v>44</v>
      </c>
      <c r="R79" s="67" t="s">
        <v>44</v>
      </c>
      <c r="S79" s="67" t="s">
        <v>16</v>
      </c>
      <c r="T79" s="67" t="s">
        <v>16</v>
      </c>
      <c r="U79" s="67"/>
      <c r="V79" s="67"/>
      <c r="W79" s="67" t="s">
        <v>44</v>
      </c>
      <c r="X79" s="67" t="s">
        <v>44</v>
      </c>
      <c r="Y79" s="67"/>
      <c r="Z79" s="67"/>
      <c r="AB79" s="80">
        <f>COUNTA(E79:Z79)*2.5</f>
        <v>37.5</v>
      </c>
    </row>
    <row r="80" spans="1:28" ht="17.399999999999999" x14ac:dyDescent="0.35">
      <c r="A80" s="18" t="s">
        <v>69</v>
      </c>
      <c r="B80" s="46" t="s">
        <v>8</v>
      </c>
      <c r="C80" s="16"/>
      <c r="D80" s="16"/>
      <c r="E80" s="16" t="s">
        <v>71</v>
      </c>
      <c r="F80" s="16" t="s">
        <v>71</v>
      </c>
      <c r="G80" s="16"/>
      <c r="H80" s="16"/>
      <c r="I80" s="16"/>
      <c r="J80" s="16" t="s">
        <v>46</v>
      </c>
      <c r="K80" s="16" t="s">
        <v>71</v>
      </c>
      <c r="L80" s="16" t="s">
        <v>99</v>
      </c>
      <c r="M80" s="69" t="s">
        <v>96</v>
      </c>
      <c r="N80" s="69" t="s">
        <v>96</v>
      </c>
      <c r="O80" s="16" t="s">
        <v>87</v>
      </c>
      <c r="P80" s="16" t="s">
        <v>87</v>
      </c>
      <c r="Q80" s="16" t="s">
        <v>73</v>
      </c>
      <c r="R80" s="16" t="s">
        <v>73</v>
      </c>
      <c r="S80" s="16" t="s">
        <v>87</v>
      </c>
      <c r="T80" s="16" t="s">
        <v>87</v>
      </c>
      <c r="U80" s="16"/>
      <c r="V80" s="16"/>
      <c r="W80" s="16" t="s">
        <v>73</v>
      </c>
      <c r="X80" s="16" t="s">
        <v>73</v>
      </c>
      <c r="Y80" s="16"/>
      <c r="Z80" s="16"/>
      <c r="AB80" s="80"/>
    </row>
    <row r="81" spans="1:28" thickBot="1" x14ac:dyDescent="0.4">
      <c r="A81" s="19" t="s">
        <v>69</v>
      </c>
      <c r="B81" s="47" t="s">
        <v>9</v>
      </c>
      <c r="C81" s="70"/>
      <c r="D81" s="70"/>
      <c r="E81" s="70" t="s">
        <v>83</v>
      </c>
      <c r="F81" s="70" t="s">
        <v>83</v>
      </c>
      <c r="G81" s="70"/>
      <c r="H81" s="70"/>
      <c r="I81" s="70"/>
      <c r="J81" s="70" t="s">
        <v>118</v>
      </c>
      <c r="K81" s="70" t="s">
        <v>34</v>
      </c>
      <c r="L81" s="70" t="s">
        <v>10</v>
      </c>
      <c r="M81" s="71" t="s">
        <v>83</v>
      </c>
      <c r="N81" s="70" t="s">
        <v>83</v>
      </c>
      <c r="O81" s="70" t="s">
        <v>10</v>
      </c>
      <c r="P81" s="70" t="s">
        <v>10</v>
      </c>
      <c r="Q81" s="70" t="s">
        <v>83</v>
      </c>
      <c r="R81" s="70" t="s">
        <v>83</v>
      </c>
      <c r="S81" s="70" t="s">
        <v>100</v>
      </c>
      <c r="T81" s="70" t="s">
        <v>100</v>
      </c>
      <c r="U81" s="70"/>
      <c r="V81" s="70"/>
      <c r="W81" s="70" t="s">
        <v>83</v>
      </c>
      <c r="X81" s="70" t="s">
        <v>83</v>
      </c>
      <c r="Y81" s="70"/>
      <c r="Z81" s="70"/>
      <c r="AB81" s="80"/>
    </row>
    <row r="92" spans="1:28" x14ac:dyDescent="0.35">
      <c r="H92" s="33"/>
    </row>
    <row r="93" spans="1:28" x14ac:dyDescent="0.35">
      <c r="H93" s="1"/>
    </row>
    <row r="94" spans="1:28" x14ac:dyDescent="0.35">
      <c r="H94" s="34"/>
    </row>
    <row r="95" spans="1:28" x14ac:dyDescent="0.35">
      <c r="H95" s="34"/>
    </row>
    <row r="96" spans="1:28" x14ac:dyDescent="0.35">
      <c r="H96" s="34"/>
    </row>
    <row r="97" spans="8:8" x14ac:dyDescent="0.35">
      <c r="H97" s="34"/>
    </row>
    <row r="98" spans="8:8" x14ac:dyDescent="0.35">
      <c r="H98" s="34"/>
    </row>
    <row r="99" spans="8:8" x14ac:dyDescent="0.35">
      <c r="H99" s="34"/>
    </row>
    <row r="100" spans="8:8" x14ac:dyDescent="0.35">
      <c r="H100" s="34"/>
    </row>
    <row r="101" spans="8:8" x14ac:dyDescent="0.35">
      <c r="H101" s="33"/>
    </row>
    <row r="102" spans="8:8" x14ac:dyDescent="0.35">
      <c r="H102" s="33"/>
    </row>
  </sheetData>
  <autoFilter ref="A2:Z54"/>
  <mergeCells count="28">
    <mergeCell ref="AB70:AB72"/>
    <mergeCell ref="AB73:AB75"/>
    <mergeCell ref="AB76:AB78"/>
    <mergeCell ref="AB79:AB81"/>
    <mergeCell ref="AB55:AB57"/>
    <mergeCell ref="AB58:AB60"/>
    <mergeCell ref="AB61:AB63"/>
    <mergeCell ref="AB64:AB66"/>
    <mergeCell ref="AB67:AB69"/>
    <mergeCell ref="C3:E3"/>
    <mergeCell ref="AB13:AB15"/>
    <mergeCell ref="AB43:AB45"/>
    <mergeCell ref="AB25:AB27"/>
    <mergeCell ref="AB28:AB30"/>
    <mergeCell ref="AB46:AB48"/>
    <mergeCell ref="AB49:AB51"/>
    <mergeCell ref="AB52:AB54"/>
    <mergeCell ref="AB31:AB33"/>
    <mergeCell ref="AB7:AB9"/>
    <mergeCell ref="AB22:AB24"/>
    <mergeCell ref="AB34:AB36"/>
    <mergeCell ref="AB37:AB39"/>
    <mergeCell ref="AB40:AB42"/>
    <mergeCell ref="AC4:AK6"/>
    <mergeCell ref="AB4:AB6"/>
    <mergeCell ref="AB10:AB12"/>
    <mergeCell ref="AB16:AB18"/>
    <mergeCell ref="AB19:AB21"/>
  </mergeCells>
  <phoneticPr fontId="4" type="noConversion"/>
  <conditionalFormatting sqref="B1:L1 N1:Z1">
    <cfRule type="cellIs" dxfId="3" priority="18" stopIfTrue="1" operator="notEqual">
      <formula>B2</formula>
    </cfRule>
  </conditionalFormatting>
  <conditionalFormatting sqref="C1:L1 N1:Z1">
    <cfRule type="cellIs" dxfId="2" priority="19" stopIfTrue="1" operator="notEqual">
      <formula>C2</formula>
    </cfRule>
  </conditionalFormatting>
  <conditionalFormatting sqref="M1">
    <cfRule type="cellIs" dxfId="1" priority="1" stopIfTrue="1" operator="notEqual">
      <formula>M2</formula>
    </cfRule>
  </conditionalFormatting>
  <conditionalFormatting sqref="M1">
    <cfRule type="cellIs" dxfId="0" priority="2" stopIfTrue="1" operator="notEqual">
      <formula>M2</formula>
    </cfRule>
  </conditionalFormatting>
  <pageMargins left="0.70866141732283505" right="0.70866141732283505" top="0.74803149606299202" bottom="0.74803149606299202" header="0.31496062992126" footer="0.31496062992126"/>
  <pageSetup paperSize="9" scale="9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90" r:id="rId4" name="Button 4886">
              <controlPr defaultSize="0" print="0" autoFill="0" autoPict="0" macro="[0]!Feuil1.emploiglobal">
                <anchor moveWithCells="1" sizeWithCells="1">
                  <from>
                    <xdr:col>4</xdr:col>
                    <xdr:colOff>640080</xdr:colOff>
                    <xdr:row>1</xdr:row>
                    <xdr:rowOff>68580</xdr:rowOff>
                  </from>
                  <to>
                    <xdr:col>5</xdr:col>
                    <xdr:colOff>1013460</xdr:colOff>
                    <xdr:row>1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2" r:id="rId5" name="Button 4888">
              <controlPr defaultSize="0" print="0" autoFill="0" autoPict="0" macro="[0]!Feuil1.salles">
                <anchor moveWithCells="1" sizeWithCells="1">
                  <from>
                    <xdr:col>2</xdr:col>
                    <xdr:colOff>30480</xdr:colOff>
                    <xdr:row>1</xdr:row>
                    <xdr:rowOff>30480</xdr:rowOff>
                  </from>
                  <to>
                    <xdr:col>2</xdr:col>
                    <xdr:colOff>1013460</xdr:colOff>
                    <xdr:row>1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3" r:id="rId6" name="Button 4889">
              <controlPr defaultSize="0" print="0" autoFill="0" autoPict="0" macro="[0]!Feuil1.syncroniser">
                <anchor moveWithCells="1" sizeWithCells="1">
                  <from>
                    <xdr:col>6</xdr:col>
                    <xdr:colOff>106680</xdr:colOff>
                    <xdr:row>1</xdr:row>
                    <xdr:rowOff>83820</xdr:rowOff>
                  </from>
                  <to>
                    <xdr:col>8</xdr:col>
                    <xdr:colOff>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4" r:id="rId7" name="Button 4890">
              <controlPr defaultSize="0" print="0" autoFill="0" autoPict="0" macro="[0]!Feuil1.emploisf">
                <anchor moveWithCells="1" sizeWithCells="1">
                  <from>
                    <xdr:col>3</xdr:col>
                    <xdr:colOff>236220</xdr:colOff>
                    <xdr:row>1</xdr:row>
                    <xdr:rowOff>45720</xdr:rowOff>
                  </from>
                  <to>
                    <xdr:col>4</xdr:col>
                    <xdr:colOff>289560</xdr:colOff>
                    <xdr:row>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emploiGlobal</vt:lpstr>
      <vt:lpstr>emploiGlobal!Impression_des_titres</vt:lpstr>
      <vt:lpstr>emploiGlobal!Zone_d_impression</vt:lpstr>
    </vt:vector>
  </TitlesOfParts>
  <Company>Sweet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ichrak</dc:creator>
  <cp:lastModifiedBy>user</cp:lastModifiedBy>
  <cp:lastPrinted>2023-05-11T10:33:17Z</cp:lastPrinted>
  <dcterms:created xsi:type="dcterms:W3CDTF">2009-09-29T08:29:56Z</dcterms:created>
  <dcterms:modified xsi:type="dcterms:W3CDTF">2023-05-13T08:00:39Z</dcterms:modified>
</cp:coreProperties>
</file>